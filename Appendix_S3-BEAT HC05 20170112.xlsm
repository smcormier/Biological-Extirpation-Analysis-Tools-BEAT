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Current\USEPA\NCEA\NCEA 2016\WA3-19\Analyses\HC05_Tool_201609xx\_20170111_Final\"/>
    </mc:Choice>
  </mc:AlternateContent>
  <bookViews>
    <workbookView xWindow="0" yWindow="12000" windowWidth="28800" windowHeight="12435" tabRatio="856"/>
  </bookViews>
  <sheets>
    <sheet name="Notes" sheetId="4" r:id="rId1"/>
    <sheet name="XC95_Select" sheetId="7" r:id="rId2"/>
    <sheet name="XCD" sheetId="6" state="hidden" r:id="rId3"/>
    <sheet name="XCD_Chart" sheetId="9" r:id="rId4"/>
  </sheets>
  <definedNames>
    <definedName name="_xlnm._FilterDatabase" localSheetId="1" hidden="1">XC95_Select!$A$3:$F$182</definedName>
    <definedName name="ChartMajor">XCD!$G$8</definedName>
    <definedName name="ChartMax">XCD!$G$7</definedName>
    <definedName name="ChartMin">XCD!$G$6</definedName>
    <definedName name="SSD_ni_total">XCD!$I$4</definedName>
    <definedName name="SSD_nt_total">XCD!$I$11</definedName>
    <definedName name="XC95_Select_nt_total">XC95_Select!$J$1</definedName>
  </definedNames>
  <calcPr calcId="152511"/>
</workbook>
</file>

<file path=xl/calcChain.xml><?xml version="1.0" encoding="utf-8"?>
<calcChain xmlns="http://schemas.openxmlformats.org/spreadsheetml/2006/main">
  <c r="D181" i="6" l="1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I6" i="6" l="1"/>
  <c r="J2" i="7" l="1"/>
  <c r="L9" i="6" l="1"/>
  <c r="D6" i="6" l="1"/>
  <c r="J1" i="7" l="1"/>
  <c r="J2" i="6" l="1"/>
  <c r="I11" i="6" l="1"/>
  <c r="I12" i="6" s="1"/>
  <c r="I13" i="6" s="1"/>
  <c r="G10" i="6"/>
  <c r="G9" i="6"/>
  <c r="I4" i="6"/>
  <c r="G12" i="6" l="1"/>
  <c r="G11" i="6"/>
  <c r="G13" i="6" l="1"/>
  <c r="G14" i="6" s="1"/>
  <c r="G8" i="6" s="1"/>
  <c r="G7" i="6" s="1"/>
  <c r="G6" i="6" l="1"/>
  <c r="I15" i="6" l="1"/>
  <c r="I14" i="6"/>
  <c r="I5" i="6" l="1"/>
  <c r="K2" i="6" s="1"/>
</calcChain>
</file>

<file path=xl/comments1.xml><?xml version="1.0" encoding="utf-8"?>
<comments xmlns="http://schemas.openxmlformats.org/spreadsheetml/2006/main">
  <authors>
    <author>Leppo, Erik</author>
  </authors>
  <commentList>
    <comment ref="F3" authorId="0" shapeId="0">
      <text>
        <r>
          <rPr>
            <sz val="9"/>
            <color indexed="81"/>
            <rFont val="Tahoma"/>
            <family val="2"/>
          </rPr>
          <t xml:space="preserve">Must equal "TRUE" for taxon to be included in the calculation.
</t>
        </r>
      </text>
    </comment>
  </commentList>
</comments>
</file>

<file path=xl/comments2.xml><?xml version="1.0" encoding="utf-8"?>
<comments xmlns="http://schemas.openxmlformats.org/spreadsheetml/2006/main">
  <authors>
    <author>Leppo, Erik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Leppo, Erik:</t>
        </r>
        <r>
          <rPr>
            <sz val="9"/>
            <color indexed="81"/>
            <rFont val="Tahoma"/>
            <family val="2"/>
          </rPr>
          <t xml:space="preserve">
Table used to build chart.</t>
        </r>
      </text>
    </comment>
  </commentList>
</comments>
</file>

<file path=xl/sharedStrings.xml><?xml version="1.0" encoding="utf-8"?>
<sst xmlns="http://schemas.openxmlformats.org/spreadsheetml/2006/main" count="780" uniqueCount="312">
  <si>
    <t>Ablabesmyia</t>
  </si>
  <si>
    <t>Acentrella</t>
  </si>
  <si>
    <t>Acerpenna</t>
  </si>
  <si>
    <t>Acroneuria</t>
  </si>
  <si>
    <t>XC95</t>
  </si>
  <si>
    <t>Title</t>
  </si>
  <si>
    <t>axis1</t>
  </si>
  <si>
    <t>TaxaName</t>
  </si>
  <si>
    <t>Number of Taxa</t>
  </si>
  <si>
    <t>low</t>
  </si>
  <si>
    <t>high</t>
  </si>
  <si>
    <t>5th taxon</t>
  </si>
  <si>
    <t>Agapetus</t>
  </si>
  <si>
    <t>Allocapnia</t>
  </si>
  <si>
    <t>Alloperla</t>
  </si>
  <si>
    <t>Ameletus</t>
  </si>
  <si>
    <t>Amphinemura</t>
  </si>
  <si>
    <t>Anopheles</t>
  </si>
  <si>
    <t>Antocha</t>
  </si>
  <si>
    <t>Asellus</t>
  </si>
  <si>
    <t>Atherix</t>
  </si>
  <si>
    <t>Atrichopogon</t>
  </si>
  <si>
    <t>Baetis</t>
  </si>
  <si>
    <t>Baetisca</t>
  </si>
  <si>
    <t>Bezzia</t>
  </si>
  <si>
    <t>Boyeria</t>
  </si>
  <si>
    <t>Brachypremna</t>
  </si>
  <si>
    <t>Brillia</t>
  </si>
  <si>
    <t>Caecidotea</t>
  </si>
  <si>
    <t>Caenis</t>
  </si>
  <si>
    <t>Cambarus</t>
  </si>
  <si>
    <t>Cardiocladius</t>
  </si>
  <si>
    <t>Centroptilum</t>
  </si>
  <si>
    <t>Ceratopsyche</t>
  </si>
  <si>
    <t>Chaetocladius</t>
  </si>
  <si>
    <t>Chelifera</t>
  </si>
  <si>
    <t>Cheumatopsyche</t>
  </si>
  <si>
    <t>Chimarra</t>
  </si>
  <si>
    <t>Chrysops</t>
  </si>
  <si>
    <t>Cinygmula</t>
  </si>
  <si>
    <t>Cladotanytarsus</t>
  </si>
  <si>
    <t>Clinocera</t>
  </si>
  <si>
    <t>Clioperla</t>
  </si>
  <si>
    <t>Conchapelopia</t>
  </si>
  <si>
    <t>Cordulegaster</t>
  </si>
  <si>
    <t>Corydalus</t>
  </si>
  <si>
    <t>Corynoneura</t>
  </si>
  <si>
    <t>Crangonyx</t>
  </si>
  <si>
    <t>Cricotopus</t>
  </si>
  <si>
    <t>Cryptochironomus</t>
  </si>
  <si>
    <t>Cultus</t>
  </si>
  <si>
    <t>Dasyhelea</t>
  </si>
  <si>
    <t>Demicryptochironomus</t>
  </si>
  <si>
    <t>Diamesa</t>
  </si>
  <si>
    <t>Dicranota</t>
  </si>
  <si>
    <t>Dicrotendipes</t>
  </si>
  <si>
    <t>Diphetor</t>
  </si>
  <si>
    <t>Diplectrona</t>
  </si>
  <si>
    <t>Diplocladius</t>
  </si>
  <si>
    <t>Diploperla</t>
  </si>
  <si>
    <t>Dixa</t>
  </si>
  <si>
    <t>Dolophilodes</t>
  </si>
  <si>
    <t>Drunella</t>
  </si>
  <si>
    <t>Dubiraphia</t>
  </si>
  <si>
    <t>Eccoptura</t>
  </si>
  <si>
    <t>Ectopria</t>
  </si>
  <si>
    <t>Epeorus</t>
  </si>
  <si>
    <t>Ephemera</t>
  </si>
  <si>
    <t>Ephemerella</t>
  </si>
  <si>
    <t>Eukiefferiella</t>
  </si>
  <si>
    <t>Eurylophella</t>
  </si>
  <si>
    <t>Gammarus</t>
  </si>
  <si>
    <t>Glossosoma</t>
  </si>
  <si>
    <t>Goera</t>
  </si>
  <si>
    <t>Haploperla</t>
  </si>
  <si>
    <t>Heleniella</t>
  </si>
  <si>
    <t>Helichus</t>
  </si>
  <si>
    <t>Hemerodromia</t>
  </si>
  <si>
    <t>Heptagenia</t>
  </si>
  <si>
    <t>Hexatoma</t>
  </si>
  <si>
    <t>Hydroporus</t>
  </si>
  <si>
    <t>Hydropsyche</t>
  </si>
  <si>
    <t>Hydroptila</t>
  </si>
  <si>
    <t>Isonychia</t>
  </si>
  <si>
    <t>Isoperla</t>
  </si>
  <si>
    <t>Krenopelopia</t>
  </si>
  <si>
    <t>Krenosmittia</t>
  </si>
  <si>
    <t>Lanthus</t>
  </si>
  <si>
    <t>Larsia</t>
  </si>
  <si>
    <t>Lepidostoma</t>
  </si>
  <si>
    <t>Leptophlebia</t>
  </si>
  <si>
    <t>Leucrocuta</t>
  </si>
  <si>
    <t>Leuctra</t>
  </si>
  <si>
    <t>Limnophila</t>
  </si>
  <si>
    <t>Limnophyes</t>
  </si>
  <si>
    <t>Limonia</t>
  </si>
  <si>
    <t>Lirceus</t>
  </si>
  <si>
    <t>Lype</t>
  </si>
  <si>
    <t>Maccaffertium</t>
  </si>
  <si>
    <t>Macronychus</t>
  </si>
  <si>
    <t>Malirekus</t>
  </si>
  <si>
    <t>Microcylloepus</t>
  </si>
  <si>
    <t>Micropsectra</t>
  </si>
  <si>
    <t>Microtendipes</t>
  </si>
  <si>
    <t>Microvelia</t>
  </si>
  <si>
    <t>Molophilus</t>
  </si>
  <si>
    <t>Natarsia</t>
  </si>
  <si>
    <t>Neophylax</t>
  </si>
  <si>
    <t>Neureclipsis</t>
  </si>
  <si>
    <t>Nigronia</t>
  </si>
  <si>
    <t>Nilotanypus</t>
  </si>
  <si>
    <t>Nixe</t>
  </si>
  <si>
    <t>Ochrotrichia</t>
  </si>
  <si>
    <t>Optioservus</t>
  </si>
  <si>
    <t>Orconectes</t>
  </si>
  <si>
    <t>Ormosia</t>
  </si>
  <si>
    <t>Orthocladius</t>
  </si>
  <si>
    <t>Oulimnius</t>
  </si>
  <si>
    <t>Pagastia</t>
  </si>
  <si>
    <t>Paracapnia</t>
  </si>
  <si>
    <t>Parachaetocladius</t>
  </si>
  <si>
    <t>Paracladopelma</t>
  </si>
  <si>
    <t>Paragnetina</t>
  </si>
  <si>
    <t>Parakiefferiella</t>
  </si>
  <si>
    <t>Paraleptophlebia</t>
  </si>
  <si>
    <t>Parametriocnemus</t>
  </si>
  <si>
    <t>Paraphaenocladius</t>
  </si>
  <si>
    <t>Paratanytarsus</t>
  </si>
  <si>
    <t>Peltoperla</t>
  </si>
  <si>
    <t>Perlesta</t>
  </si>
  <si>
    <t>Phaenopsectra</t>
  </si>
  <si>
    <t>Physella</t>
  </si>
  <si>
    <t>Pisidium</t>
  </si>
  <si>
    <t>Platysmittia</t>
  </si>
  <si>
    <t>Plauditus</t>
  </si>
  <si>
    <t>Polycentropus</t>
  </si>
  <si>
    <t>Polypedilum</t>
  </si>
  <si>
    <t>Potthastia</t>
  </si>
  <si>
    <t>Procladius</t>
  </si>
  <si>
    <t>Procloeon</t>
  </si>
  <si>
    <t>Promoresia</t>
  </si>
  <si>
    <t>Prosimulium</t>
  </si>
  <si>
    <t>Prostoia</t>
  </si>
  <si>
    <t>Psephenus</t>
  </si>
  <si>
    <t>Pseudochironomus</t>
  </si>
  <si>
    <t>Pseudolimnophila</t>
  </si>
  <si>
    <t>Psilometriocnemus</t>
  </si>
  <si>
    <t>Psychomyia</t>
  </si>
  <si>
    <t>Pteronarcys</t>
  </si>
  <si>
    <t>Pycnopsyche</t>
  </si>
  <si>
    <t>Remenus</t>
  </si>
  <si>
    <t>Rhagovelia</t>
  </si>
  <si>
    <t>Rheocricotopus</t>
  </si>
  <si>
    <t>Rheopelopia</t>
  </si>
  <si>
    <t>Rheotanytarsus</t>
  </si>
  <si>
    <t>Rhyacophila</t>
  </si>
  <si>
    <t>Serratella</t>
  </si>
  <si>
    <t>Sialis</t>
  </si>
  <si>
    <t>Simulium</t>
  </si>
  <si>
    <t>Stempellina</t>
  </si>
  <si>
    <t>Stempellinella</t>
  </si>
  <si>
    <t>Stenacron</t>
  </si>
  <si>
    <t>Stenelmis</t>
  </si>
  <si>
    <t>Stenonema</t>
  </si>
  <si>
    <t>Strophopteryx</t>
  </si>
  <si>
    <t>Stylogomphus</t>
  </si>
  <si>
    <t>Sublettea</t>
  </si>
  <si>
    <t>Sweltsa</t>
  </si>
  <si>
    <t>Tabanus</t>
  </si>
  <si>
    <t>Taeniopteryx</t>
  </si>
  <si>
    <t>Tallaperla</t>
  </si>
  <si>
    <t>Tanytarsus</t>
  </si>
  <si>
    <t>Thienemanniella</t>
  </si>
  <si>
    <t>Thienemannimyia</t>
  </si>
  <si>
    <t>Timpanoga</t>
  </si>
  <si>
    <t>Tipula</t>
  </si>
  <si>
    <t>Tribelos</t>
  </si>
  <si>
    <t>Tvetenia</t>
  </si>
  <si>
    <t>Utaperla</t>
  </si>
  <si>
    <t>Wormaldia</t>
  </si>
  <si>
    <t>Yugus</t>
  </si>
  <si>
    <t>Zavrelia</t>
  </si>
  <si>
    <t>Zavrelimyia</t>
  </si>
  <si>
    <t>Before using this program, Macros must be enabled and the security certificate must be accepted.</t>
  </si>
  <si>
    <t>1.</t>
  </si>
  <si>
    <t>2.</t>
  </si>
  <si>
    <t>Click "Trust Center" on the left menu</t>
  </si>
  <si>
    <t>3.</t>
  </si>
  <si>
    <t>Click "Trust Center Settings" (lower right)</t>
  </si>
  <si>
    <t>4.</t>
  </si>
  <si>
    <t>Click "Macro Settings"</t>
  </si>
  <si>
    <t>5.</t>
  </si>
  <si>
    <t>6.</t>
  </si>
  <si>
    <t>Click "ok" buttons to clear all open windows</t>
  </si>
  <si>
    <t>7.</t>
  </si>
  <si>
    <t>Exit program and re-open the file to use</t>
  </si>
  <si>
    <t>Go to "Tools", "Macro", and Click "Security"</t>
  </si>
  <si>
    <t>Set Macro security to medium</t>
  </si>
  <si>
    <t>Exit prgram and re-open file</t>
  </si>
  <si>
    <t>Click "Enable Macros"</t>
  </si>
  <si>
    <t>Instructions</t>
  </si>
  <si>
    <t>Order</t>
  </si>
  <si>
    <t>Family</t>
  </si>
  <si>
    <t>N</t>
  </si>
  <si>
    <t>Plecoptera</t>
  </si>
  <si>
    <t>Perlodidae</t>
  </si>
  <si>
    <t>Ephemeroptera</t>
  </si>
  <si>
    <t>Ephemerellidae</t>
  </si>
  <si>
    <t>Taeniopterygidae</t>
  </si>
  <si>
    <t>Trichoptera</t>
  </si>
  <si>
    <t>Lepidostomatidae</t>
  </si>
  <si>
    <t>Chloroperlidae</t>
  </si>
  <si>
    <t>Leptophlebiidae</t>
  </si>
  <si>
    <t>Peltoperlidae</t>
  </si>
  <si>
    <t>Heptageniidae</t>
  </si>
  <si>
    <t>Diptera</t>
  </si>
  <si>
    <t>Ceratopogonidae</t>
  </si>
  <si>
    <t>Constempellina</t>
  </si>
  <si>
    <t>Chironomidae</t>
  </si>
  <si>
    <t>Limnephilidae</t>
  </si>
  <si>
    <t>Uenoidae</t>
  </si>
  <si>
    <t>Ameletidae</t>
  </si>
  <si>
    <t>Nemouridae</t>
  </si>
  <si>
    <t>Glossosomatidae</t>
  </si>
  <si>
    <t>Capniidae</t>
  </si>
  <si>
    <t>Psychomyiidae</t>
  </si>
  <si>
    <t>Coleoptera</t>
  </si>
  <si>
    <t>Elmidae</t>
  </si>
  <si>
    <t>Tipulidae</t>
  </si>
  <si>
    <t>Ephemeridae</t>
  </si>
  <si>
    <t>Pteronarcyidae</t>
  </si>
  <si>
    <t>Baetidae</t>
  </si>
  <si>
    <t>Perlidae</t>
  </si>
  <si>
    <t>Goeridae</t>
  </si>
  <si>
    <t>Dytiscidae</t>
  </si>
  <si>
    <t>Dixidae</t>
  </si>
  <si>
    <t>Baetiscidae</t>
  </si>
  <si>
    <t>Philopotamidae</t>
  </si>
  <si>
    <t>Isopoda</t>
  </si>
  <si>
    <t>Asellidae</t>
  </si>
  <si>
    <t>Isonychiidae</t>
  </si>
  <si>
    <t>Decapoda</t>
  </si>
  <si>
    <t>Cambaridae</t>
  </si>
  <si>
    <t>Polycentropodidae</t>
  </si>
  <si>
    <t>Veneroida</t>
  </si>
  <si>
    <t>Pisidiidae</t>
  </si>
  <si>
    <t>Simuliidae</t>
  </si>
  <si>
    <t>Psephenidae</t>
  </si>
  <si>
    <t>Rhyacophilidae</t>
  </si>
  <si>
    <t>Hemiptera</t>
  </si>
  <si>
    <t>Veliidae</t>
  </si>
  <si>
    <t>Odonata</t>
  </si>
  <si>
    <t>Gomphidae</t>
  </si>
  <si>
    <t>Leuctridae</t>
  </si>
  <si>
    <t>Amphipoda</t>
  </si>
  <si>
    <t>Crangonyctidae</t>
  </si>
  <si>
    <t>Cordulegastridae</t>
  </si>
  <si>
    <t>Culicidae</t>
  </si>
  <si>
    <t>Hydroptilidae</t>
  </si>
  <si>
    <t>Empididae</t>
  </si>
  <si>
    <t>Hydropsychidae</t>
  </si>
  <si>
    <t>Caenidae</t>
  </si>
  <si>
    <t>Megaloptera</t>
  </si>
  <si>
    <t>Corydalidae</t>
  </si>
  <si>
    <t>Aeshnidae</t>
  </si>
  <si>
    <t>Basommatophora</t>
  </si>
  <si>
    <t>Physidae</t>
  </si>
  <si>
    <t>Tabanidae</t>
  </si>
  <si>
    <t>Gammaridae</t>
  </si>
  <si>
    <t>Sialidae</t>
  </si>
  <si>
    <t>Athericidae</t>
  </si>
  <si>
    <t>Dryopidae</t>
  </si>
  <si>
    <t>Present?</t>
  </si>
  <si>
    <t>y-axis</t>
  </si>
  <si>
    <t>Cumulative Proportion</t>
  </si>
  <si>
    <t>remainder</t>
  </si>
  <si>
    <t>Min</t>
  </si>
  <si>
    <t>Max</t>
  </si>
  <si>
    <t>X-axis</t>
  </si>
  <si>
    <t>Xmajor</t>
  </si>
  <si>
    <t>Xmax</t>
  </si>
  <si>
    <t>Xmin</t>
  </si>
  <si>
    <t>Min'</t>
  </si>
  <si>
    <t>Max'</t>
  </si>
  <si>
    <t>Power</t>
  </si>
  <si>
    <t>Factor</t>
  </si>
  <si>
    <t>factor</t>
  </si>
  <si>
    <t>scalar</t>
  </si>
  <si>
    <t xml:space="preserve">or </t>
  </si>
  <si>
    <t>Chart Parameters</t>
  </si>
  <si>
    <t>HC05</t>
  </si>
  <si>
    <t>Number of Individuals</t>
  </si>
  <si>
    <t>Text in blue boxes used as titles in the chart.</t>
  </si>
  <si>
    <r>
      <t xml:space="preserve">Required fields are "TaxaName", "XC95", "N", and "Present?" (highlighted in </t>
    </r>
    <r>
      <rPr>
        <b/>
        <sz val="11"/>
        <color theme="3" tint="0.39997558519241921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>).</t>
    </r>
  </si>
  <si>
    <t xml:space="preserve">1. To calculate HC05 values with existing XC95 values, in the "XC95_Select" worksheet, </t>
  </si>
  <si>
    <t>select a taxa from the list by making "Present?" equal to "TRUE",</t>
  </si>
  <si>
    <t>Sorting of the taxa on the "XC95_Select" worksheet does not impact the calculation of the HC05.</t>
  </si>
  <si>
    <t xml:space="preserve">add your own XC95 values and taxa to the same list. </t>
  </si>
  <si>
    <t>These additional taxa will be automatically added to the calculation if "Present?" is equal to "TRUE".</t>
  </si>
  <si>
    <t>Click the “Office Button” (big Office logo in the upper left) (File for 2013), and select “Excel Options” (lower right) (for 2013 "Options" in lower left).</t>
  </si>
  <si>
    <t>Click "Enable all macros" (last option) or "Disable all macros with notification".</t>
  </si>
  <si>
    <t>Select taxa occurring in your dataset ("Present?" = TRUE), or add your own XC95 values, then calculate HC05 values</t>
  </si>
  <si>
    <t>Click the button below to test if macros are enabled on your computer.</t>
  </si>
  <si>
    <t>If nothing happens when you click the button then you need to enable macros using the instructions to the left based on your version of Excel.</t>
  </si>
  <si>
    <t>For Excel 2007 and later:</t>
  </si>
  <si>
    <t>For Excel pre-2007:</t>
  </si>
  <si>
    <t>Taxa, Total</t>
  </si>
  <si>
    <t>Taxa, Present</t>
  </si>
  <si>
    <t>Proportion of genera</t>
  </si>
  <si>
    <t>Specific conductivity (μS/cm)</t>
  </si>
  <si>
    <t>2.  The results will appear in the "XCD_Chart" worksheet.</t>
  </si>
  <si>
    <t>If macros are not enabled the "Calculate XCD" button on the "XC95_Select" worksheet will not perform any functions nor provide feedback to the user.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</si>
</sst>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3" tint="0.3999755851924192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4" fillId="0" borderId="28" applyNumberFormat="0" applyFont="0" applyFill="0" applyAlignment="0" applyProtection="0">
      <alignment horizontal="center" wrapText="1"/>
    </xf>
    <xf numFmtId="0" fontId="19" fillId="0" borderId="0"/>
    <xf numFmtId="0" fontId="26" fillId="0" borderId="0"/>
    <xf numFmtId="0" fontId="26" fillId="0" borderId="0"/>
    <xf numFmtId="0" fontId="25" fillId="0" borderId="0" applyProtection="0"/>
  </cellStyleXfs>
  <cellXfs count="78">
    <xf numFmtId="0" fontId="0" fillId="0" borderId="0" xfId="0"/>
    <xf numFmtId="0" fontId="0" fillId="0" borderId="0" xfId="0" applyBorder="1"/>
    <xf numFmtId="0" fontId="19" fillId="33" borderId="21" xfId="43" applyFill="1" applyBorder="1"/>
    <xf numFmtId="0" fontId="20" fillId="0" borderId="0" xfId="43" applyFont="1"/>
    <xf numFmtId="0" fontId="21" fillId="33" borderId="20" xfId="43" applyFont="1" applyFill="1" applyBorder="1"/>
    <xf numFmtId="0" fontId="0" fillId="0" borderId="0" xfId="0"/>
    <xf numFmtId="0" fontId="19" fillId="33" borderId="26" xfId="43" applyFill="1" applyBorder="1"/>
    <xf numFmtId="0" fontId="19" fillId="33" borderId="23" xfId="43" applyFill="1" applyBorder="1" applyAlignment="1">
      <alignment horizontal="left"/>
    </xf>
    <xf numFmtId="0" fontId="19" fillId="33" borderId="25" xfId="43" applyFill="1" applyBorder="1" applyAlignment="1">
      <alignment horizontal="right"/>
    </xf>
    <xf numFmtId="49" fontId="19" fillId="33" borderId="23" xfId="43" applyNumberFormat="1" applyFill="1" applyBorder="1" applyAlignment="1">
      <alignment horizontal="right"/>
    </xf>
    <xf numFmtId="0" fontId="19" fillId="33" borderId="0" xfId="43" applyFill="1" applyBorder="1"/>
    <xf numFmtId="0" fontId="19" fillId="33" borderId="23" xfId="43" applyFill="1" applyBorder="1" applyAlignment="1">
      <alignment horizontal="right"/>
    </xf>
    <xf numFmtId="0" fontId="19" fillId="33" borderId="24" xfId="43" applyFill="1" applyBorder="1"/>
    <xf numFmtId="0" fontId="19" fillId="33" borderId="23" xfId="43" applyFill="1" applyBorder="1"/>
    <xf numFmtId="0" fontId="19" fillId="33" borderId="22" xfId="43" applyFill="1" applyBorder="1"/>
    <xf numFmtId="0" fontId="19" fillId="0" borderId="0" xfId="43" applyFill="1" applyBorder="1"/>
    <xf numFmtId="0" fontId="19" fillId="33" borderId="27" xfId="43" applyFill="1" applyBorder="1"/>
    <xf numFmtId="0" fontId="19" fillId="0" borderId="21" xfId="43" applyFill="1" applyBorder="1" applyAlignment="1">
      <alignment horizontal="left"/>
    </xf>
    <xf numFmtId="0" fontId="19" fillId="33" borderId="0" xfId="43" applyFill="1" applyBorder="1" applyAlignment="1">
      <alignment wrapText="1"/>
    </xf>
    <xf numFmtId="0" fontId="19" fillId="33" borderId="16" xfId="43" applyFill="1" applyBorder="1"/>
    <xf numFmtId="0" fontId="22" fillId="33" borderId="10" xfId="43" applyFont="1" applyFill="1" applyBorder="1"/>
    <xf numFmtId="0" fontId="19" fillId="33" borderId="11" xfId="43" applyFill="1" applyBorder="1"/>
    <xf numFmtId="0" fontId="19" fillId="33" borderId="12" xfId="43" applyFill="1" applyBorder="1"/>
    <xf numFmtId="0" fontId="23" fillId="33" borderId="13" xfId="43" applyFont="1" applyFill="1" applyBorder="1"/>
    <xf numFmtId="0" fontId="19" fillId="33" borderId="14" xfId="43" applyFill="1" applyBorder="1"/>
    <xf numFmtId="0" fontId="19" fillId="33" borderId="14" xfId="43" applyFill="1" applyBorder="1" applyAlignment="1">
      <alignment wrapText="1"/>
    </xf>
    <xf numFmtId="0" fontId="23" fillId="33" borderId="13" xfId="43" applyFont="1" applyFill="1" applyBorder="1" applyAlignment="1">
      <alignment horizontal="right"/>
    </xf>
    <xf numFmtId="0" fontId="19" fillId="33" borderId="15" xfId="43" applyFill="1" applyBorder="1"/>
    <xf numFmtId="0" fontId="19" fillId="33" borderId="17" xfId="43" applyFill="1" applyBorder="1"/>
    <xf numFmtId="0" fontId="0" fillId="0" borderId="30" xfId="0" applyBorder="1"/>
    <xf numFmtId="0" fontId="19" fillId="33" borderId="13" xfId="43" applyFont="1" applyFill="1" applyBorder="1" applyAlignment="1">
      <alignment horizontal="left"/>
    </xf>
    <xf numFmtId="0" fontId="16" fillId="0" borderId="29" xfId="0" applyFont="1" applyBorder="1"/>
    <xf numFmtId="0" fontId="27" fillId="0" borderId="0" xfId="0" applyFont="1"/>
    <xf numFmtId="2" fontId="27" fillId="0" borderId="0" xfId="0" applyNumberFormat="1" applyFont="1" applyFill="1" applyBorder="1" applyProtection="1"/>
    <xf numFmtId="0" fontId="27" fillId="0" borderId="0" xfId="0" applyFont="1" applyBorder="1"/>
    <xf numFmtId="2" fontId="27" fillId="0" borderId="0" xfId="0" applyNumberFormat="1" applyFont="1" applyFill="1" applyBorder="1" applyAlignment="1" applyProtection="1">
      <alignment horizontal="right"/>
    </xf>
    <xf numFmtId="2" fontId="27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Border="1" applyAlignment="1" applyProtection="1">
      <alignment horizontal="right"/>
    </xf>
    <xf numFmtId="0" fontId="27" fillId="0" borderId="0" xfId="0" applyNumberFormat="1" applyFont="1" applyFill="1" applyBorder="1" applyAlignment="1" applyProtection="1">
      <alignment horizontal="right" vertical="center"/>
    </xf>
    <xf numFmtId="2" fontId="28" fillId="0" borderId="0" xfId="0" applyNumberFormat="1" applyFont="1" applyFill="1" applyBorder="1" applyProtection="1"/>
    <xf numFmtId="2" fontId="27" fillId="34" borderId="34" xfId="0" applyNumberFormat="1" applyFont="1" applyFill="1" applyBorder="1"/>
    <xf numFmtId="0" fontId="28" fillId="34" borderId="37" xfId="0" applyFont="1" applyFill="1" applyBorder="1"/>
    <xf numFmtId="2" fontId="29" fillId="0" borderId="18" xfId="0" applyNumberFormat="1" applyFont="1" applyBorder="1"/>
    <xf numFmtId="0" fontId="30" fillId="0" borderId="19" xfId="0" applyNumberFormat="1" applyFont="1" applyBorder="1"/>
    <xf numFmtId="0" fontId="27" fillId="34" borderId="33" xfId="0" applyFont="1" applyFill="1" applyBorder="1"/>
    <xf numFmtId="0" fontId="27" fillId="34" borderId="0" xfId="0" applyFont="1" applyFill="1" applyBorder="1"/>
    <xf numFmtId="0" fontId="27" fillId="34" borderId="38" xfId="0" applyNumberFormat="1" applyFont="1" applyFill="1" applyBorder="1" applyAlignment="1" applyProtection="1">
      <alignment horizontal="right"/>
    </xf>
    <xf numFmtId="0" fontId="27" fillId="34" borderId="37" xfId="0" applyFont="1" applyFill="1" applyBorder="1"/>
    <xf numFmtId="0" fontId="28" fillId="34" borderId="38" xfId="0" applyFont="1" applyFill="1" applyBorder="1"/>
    <xf numFmtId="0" fontId="27" fillId="34" borderId="38" xfId="0" applyFont="1" applyFill="1" applyBorder="1"/>
    <xf numFmtId="0" fontId="28" fillId="34" borderId="31" xfId="0" applyFont="1" applyFill="1" applyBorder="1"/>
    <xf numFmtId="0" fontId="27" fillId="34" borderId="32" xfId="0" applyFont="1" applyFill="1" applyBorder="1"/>
    <xf numFmtId="2" fontId="28" fillId="34" borderId="31" xfId="0" applyNumberFormat="1" applyFont="1" applyFill="1" applyBorder="1"/>
    <xf numFmtId="0" fontId="28" fillId="34" borderId="33" xfId="0" applyFont="1" applyFill="1" applyBorder="1"/>
    <xf numFmtId="0" fontId="27" fillId="34" borderId="34" xfId="0" applyFont="1" applyFill="1" applyBorder="1"/>
    <xf numFmtId="2" fontId="28" fillId="34" borderId="33" xfId="0" applyNumberFormat="1" applyFont="1" applyFill="1" applyBorder="1"/>
    <xf numFmtId="0" fontId="28" fillId="34" borderId="35" xfId="0" applyFont="1" applyFill="1" applyBorder="1"/>
    <xf numFmtId="0" fontId="27" fillId="34" borderId="36" xfId="0" applyFont="1" applyFill="1" applyBorder="1"/>
    <xf numFmtId="1" fontId="27" fillId="34" borderId="32" xfId="0" applyNumberFormat="1" applyFont="1" applyFill="1" applyBorder="1"/>
    <xf numFmtId="1" fontId="27" fillId="34" borderId="34" xfId="0" applyNumberFormat="1" applyFont="1" applyFill="1" applyBorder="1"/>
    <xf numFmtId="0" fontId="27" fillId="34" borderId="34" xfId="0" applyNumberFormat="1" applyFont="1" applyFill="1" applyBorder="1"/>
    <xf numFmtId="2" fontId="28" fillId="34" borderId="35" xfId="0" applyNumberFormat="1" applyFont="1" applyFill="1" applyBorder="1"/>
    <xf numFmtId="2" fontId="27" fillId="34" borderId="36" xfId="0" applyNumberFormat="1" applyFont="1" applyFill="1" applyBorder="1"/>
    <xf numFmtId="0" fontId="27" fillId="34" borderId="31" xfId="0" applyFont="1" applyFill="1" applyBorder="1"/>
    <xf numFmtId="0" fontId="27" fillId="34" borderId="40" xfId="0" applyFont="1" applyFill="1" applyBorder="1"/>
    <xf numFmtId="0" fontId="27" fillId="34" borderId="35" xfId="0" applyFont="1" applyFill="1" applyBorder="1"/>
    <xf numFmtId="0" fontId="27" fillId="34" borderId="28" xfId="0" applyFont="1" applyFill="1" applyBorder="1"/>
    <xf numFmtId="2" fontId="27" fillId="35" borderId="32" xfId="0" applyNumberFormat="1" applyFont="1" applyFill="1" applyBorder="1"/>
    <xf numFmtId="2" fontId="27" fillId="35" borderId="34" xfId="0" applyNumberFormat="1" applyFont="1" applyFill="1" applyBorder="1"/>
    <xf numFmtId="0" fontId="28" fillId="35" borderId="37" xfId="0" applyFont="1" applyFill="1" applyBorder="1"/>
    <xf numFmtId="0" fontId="27" fillId="35" borderId="0" xfId="0" applyFont="1" applyFill="1" applyBorder="1"/>
    <xf numFmtId="0" fontId="16" fillId="35" borderId="29" xfId="0" applyFont="1" applyFill="1" applyBorder="1"/>
    <xf numFmtId="49" fontId="19" fillId="33" borderId="23" xfId="43" applyNumberFormat="1" applyFill="1" applyBorder="1" applyAlignment="1">
      <alignment horizontal="left"/>
    </xf>
    <xf numFmtId="2" fontId="27" fillId="0" borderId="0" xfId="0" applyNumberFormat="1" applyFont="1" applyBorder="1"/>
    <xf numFmtId="14" fontId="0" fillId="0" borderId="0" xfId="0" applyNumberFormat="1" applyBorder="1"/>
    <xf numFmtId="0" fontId="28" fillId="0" borderId="37" xfId="0" applyFont="1" applyFill="1" applyBorder="1" applyAlignment="1">
      <alignment horizontal="center"/>
    </xf>
    <xf numFmtId="0" fontId="28" fillId="0" borderId="39" xfId="0" applyFont="1" applyFill="1" applyBorder="1" applyAlignment="1">
      <alignment horizontal="center"/>
    </xf>
    <xf numFmtId="0" fontId="28" fillId="0" borderId="38" xfId="0" applyFont="1" applyFill="1" applyBorder="1" applyAlignment="1">
      <alignment horizontal="center"/>
    </xf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order1" xfId="42"/>
    <cellStyle name="Calculation" xfId="11" builtinId="22" customBuiltin="1"/>
    <cellStyle name="Check Cell" xfId="13" builtinId="23" customBuiltin="1"/>
    <cellStyle name="Clear" xfId="46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5"/>
    <cellStyle name="Normal 2 2" xfId="44"/>
    <cellStyle name="Normal 3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indexed="1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XCD!$I$6</c:f>
          <c:strCache>
            <c:ptCount val="1"/>
            <c:pt idx="0">
              <c:v>Cumulative frequency distribution of genera</c:v>
            </c:pt>
          </c:strCache>
        </c:strRef>
      </c:tx>
      <c:layout>
        <c:manualLayout>
          <c:xMode val="edge"/>
          <c:yMode val="edge"/>
          <c:x val="0.24775927418521504"/>
          <c:y val="3.26797385620915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77788920660032"/>
          <c:y val="0.10780440488417209"/>
          <c:w val="0.84148584902703838"/>
          <c:h val="0.7581182243523907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XCD!$B$5</c:f>
              <c:strCache>
                <c:ptCount val="1"/>
                <c:pt idx="0">
                  <c:v>XC95</c:v>
                </c:pt>
              </c:strCache>
            </c:strRef>
          </c:tx>
          <c:spPr>
            <a:ln w="28575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7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prstDash val="solid"/>
                <a:round/>
              </a:ln>
              <a:effectLst/>
            </c:spPr>
          </c:marker>
          <c:xVal>
            <c:numRef>
              <c:f>XCD!$B$6:$B$2002</c:f>
              <c:numCache>
                <c:formatCode>General</c:formatCode>
                <c:ptCount val="1997"/>
                <c:pt idx="0" formatCode="0.00">
                  <c:v>108</c:v>
                </c:pt>
                <c:pt idx="1">
                  <c:v>138</c:v>
                </c:pt>
                <c:pt idx="2">
                  <c:v>159</c:v>
                </c:pt>
                <c:pt idx="3">
                  <c:v>183</c:v>
                </c:pt>
                <c:pt idx="4">
                  <c:v>231</c:v>
                </c:pt>
                <c:pt idx="5">
                  <c:v>235</c:v>
                </c:pt>
                <c:pt idx="6">
                  <c:v>243</c:v>
                </c:pt>
                <c:pt idx="7">
                  <c:v>243</c:v>
                </c:pt>
                <c:pt idx="8">
                  <c:v>245</c:v>
                </c:pt>
                <c:pt idx="9">
                  <c:v>281</c:v>
                </c:pt>
                <c:pt idx="10">
                  <c:v>299</c:v>
                </c:pt>
                <c:pt idx="11">
                  <c:v>301</c:v>
                </c:pt>
                <c:pt idx="12">
                  <c:v>316</c:v>
                </c:pt>
                <c:pt idx="13">
                  <c:v>324</c:v>
                </c:pt>
                <c:pt idx="14">
                  <c:v>331</c:v>
                </c:pt>
                <c:pt idx="15">
                  <c:v>333</c:v>
                </c:pt>
                <c:pt idx="16">
                  <c:v>335</c:v>
                </c:pt>
                <c:pt idx="17">
                  <c:v>343</c:v>
                </c:pt>
                <c:pt idx="18">
                  <c:v>345</c:v>
                </c:pt>
                <c:pt idx="19">
                  <c:v>356</c:v>
                </c:pt>
                <c:pt idx="20">
                  <c:v>360</c:v>
                </c:pt>
                <c:pt idx="21">
                  <c:v>387</c:v>
                </c:pt>
                <c:pt idx="22">
                  <c:v>389</c:v>
                </c:pt>
                <c:pt idx="23">
                  <c:v>391</c:v>
                </c:pt>
                <c:pt idx="24">
                  <c:v>393</c:v>
                </c:pt>
                <c:pt idx="25">
                  <c:v>396</c:v>
                </c:pt>
                <c:pt idx="26">
                  <c:v>401</c:v>
                </c:pt>
                <c:pt idx="27">
                  <c:v>404</c:v>
                </c:pt>
                <c:pt idx="28">
                  <c:v>408</c:v>
                </c:pt>
                <c:pt idx="29">
                  <c:v>410</c:v>
                </c:pt>
                <c:pt idx="30">
                  <c:v>419</c:v>
                </c:pt>
                <c:pt idx="31">
                  <c:v>434</c:v>
                </c:pt>
                <c:pt idx="32">
                  <c:v>449</c:v>
                </c:pt>
                <c:pt idx="33">
                  <c:v>450</c:v>
                </c:pt>
                <c:pt idx="34">
                  <c:v>456</c:v>
                </c:pt>
                <c:pt idx="35">
                  <c:v>468</c:v>
                </c:pt>
                <c:pt idx="36">
                  <c:v>474</c:v>
                </c:pt>
                <c:pt idx="37">
                  <c:v>478</c:v>
                </c:pt>
                <c:pt idx="38">
                  <c:v>525</c:v>
                </c:pt>
                <c:pt idx="39">
                  <c:v>544</c:v>
                </c:pt>
                <c:pt idx="40">
                  <c:v>563</c:v>
                </c:pt>
                <c:pt idx="41">
                  <c:v>611</c:v>
                </c:pt>
                <c:pt idx="42">
                  <c:v>657</c:v>
                </c:pt>
                <c:pt idx="43">
                  <c:v>681</c:v>
                </c:pt>
                <c:pt idx="44">
                  <c:v>704</c:v>
                </c:pt>
                <c:pt idx="45">
                  <c:v>710</c:v>
                </c:pt>
                <c:pt idx="46">
                  <c:v>723</c:v>
                </c:pt>
                <c:pt idx="47">
                  <c:v>746</c:v>
                </c:pt>
                <c:pt idx="48">
                  <c:v>771</c:v>
                </c:pt>
                <c:pt idx="49">
                  <c:v>771</c:v>
                </c:pt>
                <c:pt idx="50">
                  <c:v>779</c:v>
                </c:pt>
                <c:pt idx="51">
                  <c:v>798</c:v>
                </c:pt>
                <c:pt idx="52">
                  <c:v>822</c:v>
                </c:pt>
                <c:pt idx="53">
                  <c:v>843</c:v>
                </c:pt>
                <c:pt idx="54">
                  <c:v>843</c:v>
                </c:pt>
                <c:pt idx="55">
                  <c:v>844</c:v>
                </c:pt>
                <c:pt idx="56">
                  <c:v>845</c:v>
                </c:pt>
                <c:pt idx="57">
                  <c:v>851</c:v>
                </c:pt>
                <c:pt idx="58">
                  <c:v>861</c:v>
                </c:pt>
                <c:pt idx="59">
                  <c:v>895</c:v>
                </c:pt>
                <c:pt idx="60">
                  <c:v>913</c:v>
                </c:pt>
                <c:pt idx="61">
                  <c:v>920</c:v>
                </c:pt>
                <c:pt idx="62">
                  <c:v>947</c:v>
                </c:pt>
                <c:pt idx="63">
                  <c:v>960</c:v>
                </c:pt>
                <c:pt idx="64">
                  <c:v>1036</c:v>
                </c:pt>
                <c:pt idx="65">
                  <c:v>1101</c:v>
                </c:pt>
                <c:pt idx="66">
                  <c:v>1146</c:v>
                </c:pt>
                <c:pt idx="67">
                  <c:v>1183</c:v>
                </c:pt>
                <c:pt idx="68">
                  <c:v>1190</c:v>
                </c:pt>
                <c:pt idx="69">
                  <c:v>1249</c:v>
                </c:pt>
                <c:pt idx="70">
                  <c:v>1311</c:v>
                </c:pt>
                <c:pt idx="71">
                  <c:v>1341</c:v>
                </c:pt>
                <c:pt idx="72">
                  <c:v>1424</c:v>
                </c:pt>
                <c:pt idx="73">
                  <c:v>1426</c:v>
                </c:pt>
                <c:pt idx="74">
                  <c:v>1445</c:v>
                </c:pt>
                <c:pt idx="75">
                  <c:v>1451</c:v>
                </c:pt>
                <c:pt idx="76">
                  <c:v>1460</c:v>
                </c:pt>
                <c:pt idx="77">
                  <c:v>1478</c:v>
                </c:pt>
                <c:pt idx="78">
                  <c:v>1505</c:v>
                </c:pt>
                <c:pt idx="79">
                  <c:v>1569</c:v>
                </c:pt>
                <c:pt idx="80">
                  <c:v>1613</c:v>
                </c:pt>
                <c:pt idx="81">
                  <c:v>1632</c:v>
                </c:pt>
                <c:pt idx="82">
                  <c:v>1633</c:v>
                </c:pt>
                <c:pt idx="83">
                  <c:v>1676</c:v>
                </c:pt>
                <c:pt idx="84">
                  <c:v>1689</c:v>
                </c:pt>
                <c:pt idx="85">
                  <c:v>1800</c:v>
                </c:pt>
                <c:pt idx="86">
                  <c:v>1814</c:v>
                </c:pt>
                <c:pt idx="87">
                  <c:v>1858</c:v>
                </c:pt>
                <c:pt idx="88">
                  <c:v>1959</c:v>
                </c:pt>
                <c:pt idx="89">
                  <c:v>2016</c:v>
                </c:pt>
                <c:pt idx="90">
                  <c:v>2030</c:v>
                </c:pt>
                <c:pt idx="91">
                  <c:v>2087</c:v>
                </c:pt>
                <c:pt idx="92">
                  <c:v>2087</c:v>
                </c:pt>
                <c:pt idx="93">
                  <c:v>2087</c:v>
                </c:pt>
                <c:pt idx="94">
                  <c:v>2087</c:v>
                </c:pt>
                <c:pt idx="95">
                  <c:v>2160</c:v>
                </c:pt>
                <c:pt idx="96">
                  <c:v>2169</c:v>
                </c:pt>
                <c:pt idx="97">
                  <c:v>2169</c:v>
                </c:pt>
                <c:pt idx="98">
                  <c:v>2257</c:v>
                </c:pt>
                <c:pt idx="99">
                  <c:v>2320</c:v>
                </c:pt>
                <c:pt idx="100">
                  <c:v>2320</c:v>
                </c:pt>
                <c:pt idx="101">
                  <c:v>2332</c:v>
                </c:pt>
                <c:pt idx="102">
                  <c:v>2344</c:v>
                </c:pt>
                <c:pt idx="103">
                  <c:v>2344</c:v>
                </c:pt>
                <c:pt idx="104">
                  <c:v>2360</c:v>
                </c:pt>
                <c:pt idx="105">
                  <c:v>2445</c:v>
                </c:pt>
                <c:pt idx="106">
                  <c:v>2485</c:v>
                </c:pt>
                <c:pt idx="107">
                  <c:v>2523</c:v>
                </c:pt>
                <c:pt idx="108">
                  <c:v>2768</c:v>
                </c:pt>
                <c:pt idx="109">
                  <c:v>2768</c:v>
                </c:pt>
                <c:pt idx="110">
                  <c:v>2791</c:v>
                </c:pt>
                <c:pt idx="111">
                  <c:v>2791</c:v>
                </c:pt>
                <c:pt idx="112">
                  <c:v>2791</c:v>
                </c:pt>
                <c:pt idx="113">
                  <c:v>3140</c:v>
                </c:pt>
                <c:pt idx="114">
                  <c:v>3162</c:v>
                </c:pt>
                <c:pt idx="115">
                  <c:v>3341</c:v>
                </c:pt>
                <c:pt idx="116">
                  <c:v>3341</c:v>
                </c:pt>
                <c:pt idx="117">
                  <c:v>3341</c:v>
                </c:pt>
                <c:pt idx="118">
                  <c:v>3341</c:v>
                </c:pt>
                <c:pt idx="119">
                  <c:v>3341</c:v>
                </c:pt>
                <c:pt idx="120">
                  <c:v>3489</c:v>
                </c:pt>
                <c:pt idx="121">
                  <c:v>3489</c:v>
                </c:pt>
                <c:pt idx="122">
                  <c:v>3972</c:v>
                </c:pt>
                <c:pt idx="123">
                  <c:v>4400</c:v>
                </c:pt>
                <c:pt idx="124">
                  <c:v>4400</c:v>
                </c:pt>
                <c:pt idx="125">
                  <c:v>4636</c:v>
                </c:pt>
                <c:pt idx="126">
                  <c:v>4636</c:v>
                </c:pt>
                <c:pt idx="127">
                  <c:v>4636</c:v>
                </c:pt>
                <c:pt idx="128">
                  <c:v>4636</c:v>
                </c:pt>
                <c:pt idx="129">
                  <c:v>4713</c:v>
                </c:pt>
                <c:pt idx="130">
                  <c:v>4713</c:v>
                </c:pt>
                <c:pt idx="131">
                  <c:v>4953</c:v>
                </c:pt>
                <c:pt idx="132">
                  <c:v>5057</c:v>
                </c:pt>
                <c:pt idx="133">
                  <c:v>5120</c:v>
                </c:pt>
                <c:pt idx="134">
                  <c:v>5120</c:v>
                </c:pt>
                <c:pt idx="135">
                  <c:v>5258</c:v>
                </c:pt>
                <c:pt idx="136">
                  <c:v>5258</c:v>
                </c:pt>
                <c:pt idx="137">
                  <c:v>5258</c:v>
                </c:pt>
                <c:pt idx="138">
                  <c:v>5720</c:v>
                </c:pt>
                <c:pt idx="139">
                  <c:v>6468</c:v>
                </c:pt>
                <c:pt idx="140">
                  <c:v>6468</c:v>
                </c:pt>
                <c:pt idx="141">
                  <c:v>6468</c:v>
                </c:pt>
                <c:pt idx="142">
                  <c:v>6468</c:v>
                </c:pt>
                <c:pt idx="143">
                  <c:v>6492</c:v>
                </c:pt>
                <c:pt idx="144">
                  <c:v>6492</c:v>
                </c:pt>
                <c:pt idx="145">
                  <c:v>6492</c:v>
                </c:pt>
                <c:pt idx="146">
                  <c:v>6492</c:v>
                </c:pt>
                <c:pt idx="147">
                  <c:v>6492</c:v>
                </c:pt>
                <c:pt idx="148">
                  <c:v>6492</c:v>
                </c:pt>
                <c:pt idx="149">
                  <c:v>6492</c:v>
                </c:pt>
                <c:pt idx="150">
                  <c:v>7010</c:v>
                </c:pt>
                <c:pt idx="151">
                  <c:v>7010</c:v>
                </c:pt>
                <c:pt idx="152">
                  <c:v>7010</c:v>
                </c:pt>
                <c:pt idx="153">
                  <c:v>7340</c:v>
                </c:pt>
                <c:pt idx="154">
                  <c:v>7340</c:v>
                </c:pt>
                <c:pt idx="155">
                  <c:v>7340</c:v>
                </c:pt>
                <c:pt idx="156">
                  <c:v>7370</c:v>
                </c:pt>
                <c:pt idx="157">
                  <c:v>9180</c:v>
                </c:pt>
                <c:pt idx="158">
                  <c:v>9180</c:v>
                </c:pt>
                <c:pt idx="159">
                  <c:v>9790</c:v>
                </c:pt>
                <c:pt idx="160">
                  <c:v>9790</c:v>
                </c:pt>
                <c:pt idx="161">
                  <c:v>9790</c:v>
                </c:pt>
                <c:pt idx="162">
                  <c:v>10235</c:v>
                </c:pt>
                <c:pt idx="163">
                  <c:v>10350</c:v>
                </c:pt>
                <c:pt idx="164">
                  <c:v>11227</c:v>
                </c:pt>
                <c:pt idx="165">
                  <c:v>11227</c:v>
                </c:pt>
                <c:pt idx="166">
                  <c:v>11227</c:v>
                </c:pt>
                <c:pt idx="167">
                  <c:v>11227</c:v>
                </c:pt>
                <c:pt idx="168">
                  <c:v>11227</c:v>
                </c:pt>
                <c:pt idx="169">
                  <c:v>11310</c:v>
                </c:pt>
                <c:pt idx="170">
                  <c:v>11646</c:v>
                </c:pt>
                <c:pt idx="171">
                  <c:v>11646</c:v>
                </c:pt>
                <c:pt idx="172">
                  <c:v>11646</c:v>
                </c:pt>
                <c:pt idx="173">
                  <c:v>11646</c:v>
                </c:pt>
                <c:pt idx="174">
                  <c:v>11646</c:v>
                </c:pt>
                <c:pt idx="175">
                  <c:v>11646</c:v>
                </c:pt>
              </c:numCache>
            </c:numRef>
          </c:xVal>
          <c:yVal>
            <c:numRef>
              <c:f>XCD!$D$6:$D$2002</c:f>
              <c:numCache>
                <c:formatCode>0.00</c:formatCode>
                <c:ptCount val="1997"/>
                <c:pt idx="0">
                  <c:v>5.6497175141242938E-3</c:v>
                </c:pt>
                <c:pt idx="1">
                  <c:v>1.1299435028248588E-2</c:v>
                </c:pt>
                <c:pt idx="2">
                  <c:v>1.6949152542372881E-2</c:v>
                </c:pt>
                <c:pt idx="3">
                  <c:v>2.2598870056497175E-2</c:v>
                </c:pt>
                <c:pt idx="4">
                  <c:v>2.8248587570621469E-2</c:v>
                </c:pt>
                <c:pt idx="5">
                  <c:v>3.3898305084745763E-2</c:v>
                </c:pt>
                <c:pt idx="6">
                  <c:v>3.954802259887006E-2</c:v>
                </c:pt>
                <c:pt idx="7">
                  <c:v>4.519774011299435E-2</c:v>
                </c:pt>
                <c:pt idx="8">
                  <c:v>5.0847457627118647E-2</c:v>
                </c:pt>
                <c:pt idx="9">
                  <c:v>5.6497175141242938E-2</c:v>
                </c:pt>
                <c:pt idx="10">
                  <c:v>6.2146892655367235E-2</c:v>
                </c:pt>
                <c:pt idx="11">
                  <c:v>6.7796610169491525E-2</c:v>
                </c:pt>
                <c:pt idx="12">
                  <c:v>7.3446327683615822E-2</c:v>
                </c:pt>
                <c:pt idx="13">
                  <c:v>7.909604519774012E-2</c:v>
                </c:pt>
                <c:pt idx="14">
                  <c:v>8.4745762711864403E-2</c:v>
                </c:pt>
                <c:pt idx="15">
                  <c:v>9.03954802259887E-2</c:v>
                </c:pt>
                <c:pt idx="16">
                  <c:v>9.6045197740112997E-2</c:v>
                </c:pt>
                <c:pt idx="17">
                  <c:v>0.10169491525423729</c:v>
                </c:pt>
                <c:pt idx="18">
                  <c:v>0.10734463276836158</c:v>
                </c:pt>
                <c:pt idx="19">
                  <c:v>0.11299435028248588</c:v>
                </c:pt>
                <c:pt idx="20">
                  <c:v>0.11864406779661017</c:v>
                </c:pt>
                <c:pt idx="21">
                  <c:v>0.12429378531073447</c:v>
                </c:pt>
                <c:pt idx="22">
                  <c:v>0.12994350282485875</c:v>
                </c:pt>
                <c:pt idx="23">
                  <c:v>0.13559322033898305</c:v>
                </c:pt>
                <c:pt idx="24">
                  <c:v>0.14124293785310735</c:v>
                </c:pt>
                <c:pt idx="25">
                  <c:v>0.14689265536723164</c:v>
                </c:pt>
                <c:pt idx="26">
                  <c:v>0.15254237288135594</c:v>
                </c:pt>
                <c:pt idx="27">
                  <c:v>0.15819209039548024</c:v>
                </c:pt>
                <c:pt idx="28">
                  <c:v>0.16384180790960451</c:v>
                </c:pt>
                <c:pt idx="29">
                  <c:v>0.16949152542372881</c:v>
                </c:pt>
                <c:pt idx="30">
                  <c:v>0.1751412429378531</c:v>
                </c:pt>
                <c:pt idx="31">
                  <c:v>0.1807909604519774</c:v>
                </c:pt>
                <c:pt idx="32">
                  <c:v>0.1864406779661017</c:v>
                </c:pt>
                <c:pt idx="33">
                  <c:v>0.19209039548022599</c:v>
                </c:pt>
                <c:pt idx="34">
                  <c:v>0.19774011299435029</c:v>
                </c:pt>
                <c:pt idx="35">
                  <c:v>0.20338983050847459</c:v>
                </c:pt>
                <c:pt idx="36">
                  <c:v>0.20903954802259886</c:v>
                </c:pt>
                <c:pt idx="37">
                  <c:v>0.21468926553672316</c:v>
                </c:pt>
                <c:pt idx="38">
                  <c:v>0.22033898305084745</c:v>
                </c:pt>
                <c:pt idx="39">
                  <c:v>0.22598870056497175</c:v>
                </c:pt>
                <c:pt idx="40">
                  <c:v>0.23163841807909605</c:v>
                </c:pt>
                <c:pt idx="41">
                  <c:v>0.23728813559322035</c:v>
                </c:pt>
                <c:pt idx="42">
                  <c:v>0.24293785310734464</c:v>
                </c:pt>
                <c:pt idx="43">
                  <c:v>0.24858757062146894</c:v>
                </c:pt>
                <c:pt idx="44">
                  <c:v>0.25423728813559321</c:v>
                </c:pt>
                <c:pt idx="45">
                  <c:v>0.25988700564971751</c:v>
                </c:pt>
                <c:pt idx="46">
                  <c:v>0.2655367231638418</c:v>
                </c:pt>
                <c:pt idx="47">
                  <c:v>0.2711864406779661</c:v>
                </c:pt>
                <c:pt idx="48">
                  <c:v>0.2768361581920904</c:v>
                </c:pt>
                <c:pt idx="49">
                  <c:v>0.2824858757062147</c:v>
                </c:pt>
                <c:pt idx="50">
                  <c:v>0.28813559322033899</c:v>
                </c:pt>
                <c:pt idx="51">
                  <c:v>0.29378531073446329</c:v>
                </c:pt>
                <c:pt idx="52">
                  <c:v>0.29943502824858759</c:v>
                </c:pt>
                <c:pt idx="53">
                  <c:v>0.30508474576271188</c:v>
                </c:pt>
                <c:pt idx="54">
                  <c:v>0.31073446327683618</c:v>
                </c:pt>
                <c:pt idx="55">
                  <c:v>0.31638418079096048</c:v>
                </c:pt>
                <c:pt idx="56">
                  <c:v>0.32203389830508472</c:v>
                </c:pt>
                <c:pt idx="57">
                  <c:v>0.32768361581920902</c:v>
                </c:pt>
                <c:pt idx="58">
                  <c:v>0.33333333333333331</c:v>
                </c:pt>
                <c:pt idx="59">
                  <c:v>0.33898305084745761</c:v>
                </c:pt>
                <c:pt idx="60">
                  <c:v>0.34463276836158191</c:v>
                </c:pt>
                <c:pt idx="61">
                  <c:v>0.35028248587570621</c:v>
                </c:pt>
                <c:pt idx="62">
                  <c:v>0.3559322033898305</c:v>
                </c:pt>
                <c:pt idx="63">
                  <c:v>0.3615819209039548</c:v>
                </c:pt>
                <c:pt idx="64">
                  <c:v>0.3672316384180791</c:v>
                </c:pt>
                <c:pt idx="65">
                  <c:v>0.3728813559322034</c:v>
                </c:pt>
                <c:pt idx="66">
                  <c:v>0.37853107344632769</c:v>
                </c:pt>
                <c:pt idx="67">
                  <c:v>0.38418079096045199</c:v>
                </c:pt>
                <c:pt idx="68">
                  <c:v>0.38983050847457629</c:v>
                </c:pt>
                <c:pt idx="69">
                  <c:v>0.39548022598870058</c:v>
                </c:pt>
                <c:pt idx="70">
                  <c:v>0.40112994350282488</c:v>
                </c:pt>
                <c:pt idx="71">
                  <c:v>0.40677966101694918</c:v>
                </c:pt>
                <c:pt idx="72">
                  <c:v>0.41242937853107342</c:v>
                </c:pt>
                <c:pt idx="73">
                  <c:v>0.41807909604519772</c:v>
                </c:pt>
                <c:pt idx="74">
                  <c:v>0.42372881355932202</c:v>
                </c:pt>
                <c:pt idx="75">
                  <c:v>0.42937853107344631</c:v>
                </c:pt>
                <c:pt idx="76">
                  <c:v>0.43502824858757061</c:v>
                </c:pt>
                <c:pt idx="77">
                  <c:v>0.44067796610169491</c:v>
                </c:pt>
                <c:pt idx="78">
                  <c:v>0.4463276836158192</c:v>
                </c:pt>
                <c:pt idx="79">
                  <c:v>0.4519774011299435</c:v>
                </c:pt>
                <c:pt idx="80">
                  <c:v>0.4576271186440678</c:v>
                </c:pt>
                <c:pt idx="81">
                  <c:v>0.4632768361581921</c:v>
                </c:pt>
                <c:pt idx="82">
                  <c:v>0.46892655367231639</c:v>
                </c:pt>
                <c:pt idx="83">
                  <c:v>0.47457627118644069</c:v>
                </c:pt>
                <c:pt idx="84">
                  <c:v>0.48022598870056499</c:v>
                </c:pt>
                <c:pt idx="85">
                  <c:v>0.48587570621468928</c:v>
                </c:pt>
                <c:pt idx="86">
                  <c:v>0.49152542372881358</c:v>
                </c:pt>
                <c:pt idx="87">
                  <c:v>0.49717514124293788</c:v>
                </c:pt>
                <c:pt idx="88">
                  <c:v>0.50282485875706218</c:v>
                </c:pt>
                <c:pt idx="89">
                  <c:v>0.50847457627118642</c:v>
                </c:pt>
                <c:pt idx="90">
                  <c:v>0.51412429378531077</c:v>
                </c:pt>
                <c:pt idx="91">
                  <c:v>0.51977401129943501</c:v>
                </c:pt>
                <c:pt idx="92">
                  <c:v>0.52542372881355937</c:v>
                </c:pt>
                <c:pt idx="93">
                  <c:v>0.53107344632768361</c:v>
                </c:pt>
                <c:pt idx="94">
                  <c:v>0.53672316384180796</c:v>
                </c:pt>
                <c:pt idx="95">
                  <c:v>0.5423728813559322</c:v>
                </c:pt>
                <c:pt idx="96">
                  <c:v>0.54802259887005644</c:v>
                </c:pt>
                <c:pt idx="97">
                  <c:v>0.5536723163841808</c:v>
                </c:pt>
                <c:pt idx="98">
                  <c:v>0.55932203389830504</c:v>
                </c:pt>
                <c:pt idx="99">
                  <c:v>0.56497175141242939</c:v>
                </c:pt>
                <c:pt idx="100">
                  <c:v>0.57062146892655363</c:v>
                </c:pt>
                <c:pt idx="101">
                  <c:v>0.57627118644067798</c:v>
                </c:pt>
                <c:pt idx="102">
                  <c:v>0.58192090395480223</c:v>
                </c:pt>
                <c:pt idx="103">
                  <c:v>0.58757062146892658</c:v>
                </c:pt>
                <c:pt idx="104">
                  <c:v>0.59322033898305082</c:v>
                </c:pt>
                <c:pt idx="105">
                  <c:v>0.59887005649717517</c:v>
                </c:pt>
                <c:pt idx="106">
                  <c:v>0.60451977401129942</c:v>
                </c:pt>
                <c:pt idx="107">
                  <c:v>0.61016949152542377</c:v>
                </c:pt>
                <c:pt idx="108">
                  <c:v>0.61581920903954801</c:v>
                </c:pt>
                <c:pt idx="109">
                  <c:v>0.62146892655367236</c:v>
                </c:pt>
                <c:pt idx="110">
                  <c:v>0.6271186440677966</c:v>
                </c:pt>
                <c:pt idx="111">
                  <c:v>0.63276836158192096</c:v>
                </c:pt>
                <c:pt idx="112">
                  <c:v>0.6384180790960452</c:v>
                </c:pt>
                <c:pt idx="113">
                  <c:v>0.64406779661016944</c:v>
                </c:pt>
                <c:pt idx="114">
                  <c:v>0.64971751412429379</c:v>
                </c:pt>
                <c:pt idx="115">
                  <c:v>0.65536723163841804</c:v>
                </c:pt>
                <c:pt idx="116">
                  <c:v>0.66101694915254239</c:v>
                </c:pt>
                <c:pt idx="117">
                  <c:v>0.66666666666666663</c:v>
                </c:pt>
                <c:pt idx="118">
                  <c:v>0.67231638418079098</c:v>
                </c:pt>
                <c:pt idx="119">
                  <c:v>0.67796610169491522</c:v>
                </c:pt>
                <c:pt idx="120">
                  <c:v>0.68361581920903958</c:v>
                </c:pt>
                <c:pt idx="121">
                  <c:v>0.68926553672316382</c:v>
                </c:pt>
                <c:pt idx="122">
                  <c:v>0.69491525423728817</c:v>
                </c:pt>
                <c:pt idx="123">
                  <c:v>0.70056497175141241</c:v>
                </c:pt>
                <c:pt idx="124">
                  <c:v>0.70621468926553677</c:v>
                </c:pt>
                <c:pt idx="125">
                  <c:v>0.71186440677966101</c:v>
                </c:pt>
                <c:pt idx="126">
                  <c:v>0.71751412429378536</c:v>
                </c:pt>
                <c:pt idx="127">
                  <c:v>0.7231638418079096</c:v>
                </c:pt>
                <c:pt idx="128">
                  <c:v>0.72881355932203384</c:v>
                </c:pt>
                <c:pt idx="129">
                  <c:v>0.7344632768361582</c:v>
                </c:pt>
                <c:pt idx="130">
                  <c:v>0.74011299435028244</c:v>
                </c:pt>
                <c:pt idx="131">
                  <c:v>0.74576271186440679</c:v>
                </c:pt>
                <c:pt idx="132">
                  <c:v>0.75141242937853103</c:v>
                </c:pt>
                <c:pt idx="133">
                  <c:v>0.75706214689265539</c:v>
                </c:pt>
                <c:pt idx="134">
                  <c:v>0.76271186440677963</c:v>
                </c:pt>
                <c:pt idx="135">
                  <c:v>0.76836158192090398</c:v>
                </c:pt>
                <c:pt idx="136">
                  <c:v>0.77401129943502822</c:v>
                </c:pt>
                <c:pt idx="137">
                  <c:v>0.77966101694915257</c:v>
                </c:pt>
                <c:pt idx="138">
                  <c:v>0.78531073446327682</c:v>
                </c:pt>
                <c:pt idx="139">
                  <c:v>0.79096045197740117</c:v>
                </c:pt>
                <c:pt idx="140">
                  <c:v>0.79661016949152541</c:v>
                </c:pt>
                <c:pt idx="141">
                  <c:v>0.80225988700564976</c:v>
                </c:pt>
                <c:pt idx="142">
                  <c:v>0.80790960451977401</c:v>
                </c:pt>
                <c:pt idx="143">
                  <c:v>0.81355932203389836</c:v>
                </c:pt>
                <c:pt idx="144">
                  <c:v>0.8192090395480226</c:v>
                </c:pt>
                <c:pt idx="145">
                  <c:v>0.82485875706214684</c:v>
                </c:pt>
                <c:pt idx="146">
                  <c:v>0.83050847457627119</c:v>
                </c:pt>
                <c:pt idx="147">
                  <c:v>0.83615819209039544</c:v>
                </c:pt>
                <c:pt idx="148">
                  <c:v>0.84180790960451979</c:v>
                </c:pt>
                <c:pt idx="149">
                  <c:v>0.84745762711864403</c:v>
                </c:pt>
                <c:pt idx="150">
                  <c:v>0.85310734463276838</c:v>
                </c:pt>
                <c:pt idx="151">
                  <c:v>0.85875706214689262</c:v>
                </c:pt>
                <c:pt idx="152">
                  <c:v>0.86440677966101698</c:v>
                </c:pt>
                <c:pt idx="153">
                  <c:v>0.87005649717514122</c:v>
                </c:pt>
                <c:pt idx="154">
                  <c:v>0.87570621468926557</c:v>
                </c:pt>
                <c:pt idx="155">
                  <c:v>0.88135593220338981</c:v>
                </c:pt>
                <c:pt idx="156">
                  <c:v>0.88700564971751417</c:v>
                </c:pt>
                <c:pt idx="157">
                  <c:v>0.89265536723163841</c:v>
                </c:pt>
                <c:pt idx="158">
                  <c:v>0.89830508474576276</c:v>
                </c:pt>
                <c:pt idx="159">
                  <c:v>0.903954802259887</c:v>
                </c:pt>
                <c:pt idx="160">
                  <c:v>0.90960451977401124</c:v>
                </c:pt>
                <c:pt idx="161">
                  <c:v>0.9152542372881356</c:v>
                </c:pt>
                <c:pt idx="162">
                  <c:v>0.92090395480225984</c:v>
                </c:pt>
                <c:pt idx="163">
                  <c:v>0.92655367231638419</c:v>
                </c:pt>
                <c:pt idx="164">
                  <c:v>0.93220338983050843</c:v>
                </c:pt>
                <c:pt idx="165">
                  <c:v>0.93785310734463279</c:v>
                </c:pt>
                <c:pt idx="166">
                  <c:v>0.94350282485875703</c:v>
                </c:pt>
                <c:pt idx="167">
                  <c:v>0.94915254237288138</c:v>
                </c:pt>
                <c:pt idx="168">
                  <c:v>0.95480225988700562</c:v>
                </c:pt>
                <c:pt idx="169">
                  <c:v>0.96045197740112997</c:v>
                </c:pt>
                <c:pt idx="170">
                  <c:v>0.96610169491525422</c:v>
                </c:pt>
                <c:pt idx="171">
                  <c:v>0.97175141242937857</c:v>
                </c:pt>
                <c:pt idx="172">
                  <c:v>0.97740112994350281</c:v>
                </c:pt>
                <c:pt idx="173">
                  <c:v>0.98305084745762716</c:v>
                </c:pt>
                <c:pt idx="174">
                  <c:v>0.98870056497175141</c:v>
                </c:pt>
                <c:pt idx="175">
                  <c:v>0.99435028248587576</c:v>
                </c:pt>
              </c:numCache>
            </c:numRef>
          </c:yVal>
          <c:smooth val="1"/>
        </c:ser>
        <c:ser>
          <c:idx val="0"/>
          <c:order val="1"/>
          <c:spPr>
            <a:ln>
              <a:prstDash val="dash"/>
            </a:ln>
          </c:spPr>
          <c:xVal>
            <c:numRef>
              <c:f>XCD!$K$9:$O$9</c:f>
              <c:numCache>
                <c:formatCode>0.00</c:formatCode>
                <c:ptCount val="5"/>
                <c:pt idx="0" formatCode="General">
                  <c:v>-100</c:v>
                </c:pt>
                <c:pt idx="1">
                  <c:v>12810.6</c:v>
                </c:pt>
              </c:numCache>
            </c:numRef>
          </c:xVal>
          <c:yVal>
            <c:numRef>
              <c:f>XCD!$K$10:$O$10</c:f>
              <c:numCache>
                <c:formatCode>General</c:formatCode>
                <c:ptCount val="5"/>
                <c:pt idx="0">
                  <c:v>0.05</c:v>
                </c:pt>
                <c:pt idx="1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62928"/>
        <c:axId val="394563320"/>
      </c:scatterChart>
      <c:valAx>
        <c:axId val="394562928"/>
        <c:scaling>
          <c:orientation val="minMax"/>
          <c:max val="12000"/>
          <c:min val="0"/>
        </c:scaling>
        <c:delete val="0"/>
        <c:axPos val="b"/>
        <c:title>
          <c:tx>
            <c:strRef>
              <c:f>XCD!$I$8</c:f>
              <c:strCache>
                <c:ptCount val="1"/>
                <c:pt idx="0">
                  <c:v>Specific conductivity (μS/cm)</c:v>
                </c:pt>
              </c:strCache>
            </c:strRef>
          </c:tx>
          <c:layout>
            <c:manualLayout>
              <c:xMode val="edge"/>
              <c:yMode val="edge"/>
              <c:x val="0.39852943204311292"/>
              <c:y val="0.929224694739244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63320"/>
        <c:crosses val="autoZero"/>
        <c:crossBetween val="midCat"/>
        <c:majorUnit val="2000"/>
      </c:valAx>
      <c:valAx>
        <c:axId val="39456332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title>
          <c:tx>
            <c:strRef>
              <c:f>XCD!$I$7</c:f>
              <c:strCache>
                <c:ptCount val="1"/>
                <c:pt idx="0">
                  <c:v>Proportion of genera</c:v>
                </c:pt>
              </c:strCache>
            </c:strRef>
          </c:tx>
          <c:layout>
            <c:manualLayout>
              <c:xMode val="edge"/>
              <c:yMode val="edge"/>
              <c:x val="2.2703640003560149E-2"/>
              <c:y val="0.31389022024420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62928"/>
        <c:crosses val="autoZero"/>
        <c:crossBetween val="midCat"/>
      </c:valAx>
      <c:spPr>
        <a:solidFill>
          <a:schemeClr val="bg1"/>
        </a:solidFill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>
      <a:outerShdw blurRad="50800" dist="50800" dir="5400000" algn="ctr" rotWithShape="0">
        <a:schemeClr val="bg1">
          <a:lumMod val="85000"/>
        </a:scheme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XCD!$I$6</c:f>
          <c:strCache>
            <c:ptCount val="1"/>
            <c:pt idx="0">
              <c:v>Cumulative frequency distribution of genera</c:v>
            </c:pt>
          </c:strCache>
        </c:strRef>
      </c:tx>
      <c:layout>
        <c:manualLayout>
          <c:xMode val="edge"/>
          <c:yMode val="edge"/>
          <c:x val="0.19362030275195591"/>
          <c:y val="2.05914358999358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XCD!$B$5</c:f>
              <c:strCache>
                <c:ptCount val="1"/>
                <c:pt idx="0">
                  <c:v>XC95</c:v>
                </c:pt>
              </c:strCache>
            </c:strRef>
          </c:tx>
          <c:spPr>
            <a:ln w="28575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7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prstDash val="solid"/>
                <a:round/>
              </a:ln>
              <a:effectLst/>
            </c:spPr>
          </c:marker>
          <c:xVal>
            <c:numRef>
              <c:f>XCD!$B$6:$B$2002</c:f>
              <c:numCache>
                <c:formatCode>General</c:formatCode>
                <c:ptCount val="1997"/>
                <c:pt idx="0" formatCode="0.00">
                  <c:v>108</c:v>
                </c:pt>
                <c:pt idx="1">
                  <c:v>138</c:v>
                </c:pt>
                <c:pt idx="2">
                  <c:v>159</c:v>
                </c:pt>
                <c:pt idx="3">
                  <c:v>183</c:v>
                </c:pt>
                <c:pt idx="4">
                  <c:v>231</c:v>
                </c:pt>
                <c:pt idx="5">
                  <c:v>235</c:v>
                </c:pt>
                <c:pt idx="6">
                  <c:v>243</c:v>
                </c:pt>
                <c:pt idx="7">
                  <c:v>243</c:v>
                </c:pt>
                <c:pt idx="8">
                  <c:v>245</c:v>
                </c:pt>
                <c:pt idx="9">
                  <c:v>281</c:v>
                </c:pt>
                <c:pt idx="10">
                  <c:v>299</c:v>
                </c:pt>
                <c:pt idx="11">
                  <c:v>301</c:v>
                </c:pt>
                <c:pt idx="12">
                  <c:v>316</c:v>
                </c:pt>
                <c:pt idx="13">
                  <c:v>324</c:v>
                </c:pt>
                <c:pt idx="14">
                  <c:v>331</c:v>
                </c:pt>
                <c:pt idx="15">
                  <c:v>333</c:v>
                </c:pt>
                <c:pt idx="16">
                  <c:v>335</c:v>
                </c:pt>
                <c:pt idx="17">
                  <c:v>343</c:v>
                </c:pt>
                <c:pt idx="18">
                  <c:v>345</c:v>
                </c:pt>
                <c:pt idx="19">
                  <c:v>356</c:v>
                </c:pt>
                <c:pt idx="20">
                  <c:v>360</c:v>
                </c:pt>
                <c:pt idx="21">
                  <c:v>387</c:v>
                </c:pt>
                <c:pt idx="22">
                  <c:v>389</c:v>
                </c:pt>
                <c:pt idx="23">
                  <c:v>391</c:v>
                </c:pt>
                <c:pt idx="24">
                  <c:v>393</c:v>
                </c:pt>
                <c:pt idx="25">
                  <c:v>396</c:v>
                </c:pt>
                <c:pt idx="26">
                  <c:v>401</c:v>
                </c:pt>
                <c:pt idx="27">
                  <c:v>404</c:v>
                </c:pt>
                <c:pt idx="28">
                  <c:v>408</c:v>
                </c:pt>
                <c:pt idx="29">
                  <c:v>410</c:v>
                </c:pt>
                <c:pt idx="30">
                  <c:v>419</c:v>
                </c:pt>
                <c:pt idx="31">
                  <c:v>434</c:v>
                </c:pt>
                <c:pt idx="32">
                  <c:v>449</c:v>
                </c:pt>
                <c:pt idx="33">
                  <c:v>450</c:v>
                </c:pt>
                <c:pt idx="34">
                  <c:v>456</c:v>
                </c:pt>
                <c:pt idx="35">
                  <c:v>468</c:v>
                </c:pt>
                <c:pt idx="36">
                  <c:v>474</c:v>
                </c:pt>
                <c:pt idx="37">
                  <c:v>478</c:v>
                </c:pt>
                <c:pt idx="38">
                  <c:v>525</c:v>
                </c:pt>
                <c:pt idx="39">
                  <c:v>544</c:v>
                </c:pt>
                <c:pt idx="40">
                  <c:v>563</c:v>
                </c:pt>
                <c:pt idx="41">
                  <c:v>611</c:v>
                </c:pt>
                <c:pt idx="42">
                  <c:v>657</c:v>
                </c:pt>
                <c:pt idx="43">
                  <c:v>681</c:v>
                </c:pt>
                <c:pt idx="44">
                  <c:v>704</c:v>
                </c:pt>
                <c:pt idx="45">
                  <c:v>710</c:v>
                </c:pt>
                <c:pt idx="46">
                  <c:v>723</c:v>
                </c:pt>
                <c:pt idx="47">
                  <c:v>746</c:v>
                </c:pt>
                <c:pt idx="48">
                  <c:v>771</c:v>
                </c:pt>
                <c:pt idx="49">
                  <c:v>771</c:v>
                </c:pt>
                <c:pt idx="50">
                  <c:v>779</c:v>
                </c:pt>
                <c:pt idx="51">
                  <c:v>798</c:v>
                </c:pt>
                <c:pt idx="52">
                  <c:v>822</c:v>
                </c:pt>
                <c:pt idx="53">
                  <c:v>843</c:v>
                </c:pt>
                <c:pt idx="54">
                  <c:v>843</c:v>
                </c:pt>
                <c:pt idx="55">
                  <c:v>844</c:v>
                </c:pt>
                <c:pt idx="56">
                  <c:v>845</c:v>
                </c:pt>
                <c:pt idx="57">
                  <c:v>851</c:v>
                </c:pt>
                <c:pt idx="58">
                  <c:v>861</c:v>
                </c:pt>
                <c:pt idx="59">
                  <c:v>895</c:v>
                </c:pt>
                <c:pt idx="60">
                  <c:v>913</c:v>
                </c:pt>
                <c:pt idx="61">
                  <c:v>920</c:v>
                </c:pt>
                <c:pt idx="62">
                  <c:v>947</c:v>
                </c:pt>
                <c:pt idx="63">
                  <c:v>960</c:v>
                </c:pt>
                <c:pt idx="64">
                  <c:v>1036</c:v>
                </c:pt>
                <c:pt idx="65">
                  <c:v>1101</c:v>
                </c:pt>
                <c:pt idx="66">
                  <c:v>1146</c:v>
                </c:pt>
                <c:pt idx="67">
                  <c:v>1183</c:v>
                </c:pt>
                <c:pt idx="68">
                  <c:v>1190</c:v>
                </c:pt>
                <c:pt idx="69">
                  <c:v>1249</c:v>
                </c:pt>
                <c:pt idx="70">
                  <c:v>1311</c:v>
                </c:pt>
                <c:pt idx="71">
                  <c:v>1341</c:v>
                </c:pt>
                <c:pt idx="72">
                  <c:v>1424</c:v>
                </c:pt>
                <c:pt idx="73">
                  <c:v>1426</c:v>
                </c:pt>
                <c:pt idx="74">
                  <c:v>1445</c:v>
                </c:pt>
                <c:pt idx="75">
                  <c:v>1451</c:v>
                </c:pt>
                <c:pt idx="76">
                  <c:v>1460</c:v>
                </c:pt>
                <c:pt idx="77">
                  <c:v>1478</c:v>
                </c:pt>
                <c:pt idx="78">
                  <c:v>1505</c:v>
                </c:pt>
                <c:pt idx="79">
                  <c:v>1569</c:v>
                </c:pt>
                <c:pt idx="80">
                  <c:v>1613</c:v>
                </c:pt>
                <c:pt idx="81">
                  <c:v>1632</c:v>
                </c:pt>
                <c:pt idx="82">
                  <c:v>1633</c:v>
                </c:pt>
                <c:pt idx="83">
                  <c:v>1676</c:v>
                </c:pt>
                <c:pt idx="84">
                  <c:v>1689</c:v>
                </c:pt>
                <c:pt idx="85">
                  <c:v>1800</c:v>
                </c:pt>
                <c:pt idx="86">
                  <c:v>1814</c:v>
                </c:pt>
                <c:pt idx="87">
                  <c:v>1858</c:v>
                </c:pt>
                <c:pt idx="88">
                  <c:v>1959</c:v>
                </c:pt>
                <c:pt idx="89">
                  <c:v>2016</c:v>
                </c:pt>
                <c:pt idx="90">
                  <c:v>2030</c:v>
                </c:pt>
                <c:pt idx="91">
                  <c:v>2087</c:v>
                </c:pt>
                <c:pt idx="92">
                  <c:v>2087</c:v>
                </c:pt>
                <c:pt idx="93">
                  <c:v>2087</c:v>
                </c:pt>
                <c:pt idx="94">
                  <c:v>2087</c:v>
                </c:pt>
                <c:pt idx="95">
                  <c:v>2160</c:v>
                </c:pt>
                <c:pt idx="96">
                  <c:v>2169</c:v>
                </c:pt>
                <c:pt idx="97">
                  <c:v>2169</c:v>
                </c:pt>
                <c:pt idx="98">
                  <c:v>2257</c:v>
                </c:pt>
                <c:pt idx="99">
                  <c:v>2320</c:v>
                </c:pt>
                <c:pt idx="100">
                  <c:v>2320</c:v>
                </c:pt>
                <c:pt idx="101">
                  <c:v>2332</c:v>
                </c:pt>
                <c:pt idx="102">
                  <c:v>2344</c:v>
                </c:pt>
                <c:pt idx="103">
                  <c:v>2344</c:v>
                </c:pt>
                <c:pt idx="104">
                  <c:v>2360</c:v>
                </c:pt>
                <c:pt idx="105">
                  <c:v>2445</c:v>
                </c:pt>
                <c:pt idx="106">
                  <c:v>2485</c:v>
                </c:pt>
                <c:pt idx="107">
                  <c:v>2523</c:v>
                </c:pt>
                <c:pt idx="108">
                  <c:v>2768</c:v>
                </c:pt>
                <c:pt idx="109">
                  <c:v>2768</c:v>
                </c:pt>
                <c:pt idx="110">
                  <c:v>2791</c:v>
                </c:pt>
                <c:pt idx="111">
                  <c:v>2791</c:v>
                </c:pt>
                <c:pt idx="112">
                  <c:v>2791</c:v>
                </c:pt>
                <c:pt idx="113">
                  <c:v>3140</c:v>
                </c:pt>
                <c:pt idx="114">
                  <c:v>3162</c:v>
                </c:pt>
                <c:pt idx="115">
                  <c:v>3341</c:v>
                </c:pt>
                <c:pt idx="116">
                  <c:v>3341</c:v>
                </c:pt>
                <c:pt idx="117">
                  <c:v>3341</c:v>
                </c:pt>
                <c:pt idx="118">
                  <c:v>3341</c:v>
                </c:pt>
                <c:pt idx="119">
                  <c:v>3341</c:v>
                </c:pt>
                <c:pt idx="120">
                  <c:v>3489</c:v>
                </c:pt>
                <c:pt idx="121">
                  <c:v>3489</c:v>
                </c:pt>
                <c:pt idx="122">
                  <c:v>3972</c:v>
                </c:pt>
                <c:pt idx="123">
                  <c:v>4400</c:v>
                </c:pt>
                <c:pt idx="124">
                  <c:v>4400</c:v>
                </c:pt>
                <c:pt idx="125">
                  <c:v>4636</c:v>
                </c:pt>
                <c:pt idx="126">
                  <c:v>4636</c:v>
                </c:pt>
                <c:pt idx="127">
                  <c:v>4636</c:v>
                </c:pt>
                <c:pt idx="128">
                  <c:v>4636</c:v>
                </c:pt>
                <c:pt idx="129">
                  <c:v>4713</c:v>
                </c:pt>
                <c:pt idx="130">
                  <c:v>4713</c:v>
                </c:pt>
                <c:pt idx="131">
                  <c:v>4953</c:v>
                </c:pt>
                <c:pt idx="132">
                  <c:v>5057</c:v>
                </c:pt>
                <c:pt idx="133">
                  <c:v>5120</c:v>
                </c:pt>
                <c:pt idx="134">
                  <c:v>5120</c:v>
                </c:pt>
                <c:pt idx="135">
                  <c:v>5258</c:v>
                </c:pt>
                <c:pt idx="136">
                  <c:v>5258</c:v>
                </c:pt>
                <c:pt idx="137">
                  <c:v>5258</c:v>
                </c:pt>
                <c:pt idx="138">
                  <c:v>5720</c:v>
                </c:pt>
                <c:pt idx="139">
                  <c:v>6468</c:v>
                </c:pt>
                <c:pt idx="140">
                  <c:v>6468</c:v>
                </c:pt>
                <c:pt idx="141">
                  <c:v>6468</c:v>
                </c:pt>
                <c:pt idx="142">
                  <c:v>6468</c:v>
                </c:pt>
                <c:pt idx="143">
                  <c:v>6492</c:v>
                </c:pt>
                <c:pt idx="144">
                  <c:v>6492</c:v>
                </c:pt>
                <c:pt idx="145">
                  <c:v>6492</c:v>
                </c:pt>
                <c:pt idx="146">
                  <c:v>6492</c:v>
                </c:pt>
                <c:pt idx="147">
                  <c:v>6492</c:v>
                </c:pt>
                <c:pt idx="148">
                  <c:v>6492</c:v>
                </c:pt>
                <c:pt idx="149">
                  <c:v>6492</c:v>
                </c:pt>
                <c:pt idx="150">
                  <c:v>7010</c:v>
                </c:pt>
                <c:pt idx="151">
                  <c:v>7010</c:v>
                </c:pt>
                <c:pt idx="152">
                  <c:v>7010</c:v>
                </c:pt>
                <c:pt idx="153">
                  <c:v>7340</c:v>
                </c:pt>
                <c:pt idx="154">
                  <c:v>7340</c:v>
                </c:pt>
                <c:pt idx="155">
                  <c:v>7340</c:v>
                </c:pt>
                <c:pt idx="156">
                  <c:v>7370</c:v>
                </c:pt>
                <c:pt idx="157">
                  <c:v>9180</c:v>
                </c:pt>
                <c:pt idx="158">
                  <c:v>9180</c:v>
                </c:pt>
                <c:pt idx="159">
                  <c:v>9790</c:v>
                </c:pt>
                <c:pt idx="160">
                  <c:v>9790</c:v>
                </c:pt>
                <c:pt idx="161">
                  <c:v>9790</c:v>
                </c:pt>
                <c:pt idx="162">
                  <c:v>10235</c:v>
                </c:pt>
                <c:pt idx="163">
                  <c:v>10350</c:v>
                </c:pt>
                <c:pt idx="164">
                  <c:v>11227</c:v>
                </c:pt>
                <c:pt idx="165">
                  <c:v>11227</c:v>
                </c:pt>
                <c:pt idx="166">
                  <c:v>11227</c:v>
                </c:pt>
                <c:pt idx="167">
                  <c:v>11227</c:v>
                </c:pt>
                <c:pt idx="168">
                  <c:v>11227</c:v>
                </c:pt>
                <c:pt idx="169">
                  <c:v>11310</c:v>
                </c:pt>
                <c:pt idx="170">
                  <c:v>11646</c:v>
                </c:pt>
                <c:pt idx="171">
                  <c:v>11646</c:v>
                </c:pt>
                <c:pt idx="172">
                  <c:v>11646</c:v>
                </c:pt>
                <c:pt idx="173">
                  <c:v>11646</c:v>
                </c:pt>
                <c:pt idx="174">
                  <c:v>11646</c:v>
                </c:pt>
                <c:pt idx="175">
                  <c:v>11646</c:v>
                </c:pt>
              </c:numCache>
            </c:numRef>
          </c:xVal>
          <c:yVal>
            <c:numRef>
              <c:f>XCD!$D$6:$D$2002</c:f>
              <c:numCache>
                <c:formatCode>0.00</c:formatCode>
                <c:ptCount val="1997"/>
                <c:pt idx="0">
                  <c:v>5.6497175141242938E-3</c:v>
                </c:pt>
                <c:pt idx="1">
                  <c:v>1.1299435028248588E-2</c:v>
                </c:pt>
                <c:pt idx="2">
                  <c:v>1.6949152542372881E-2</c:v>
                </c:pt>
                <c:pt idx="3">
                  <c:v>2.2598870056497175E-2</c:v>
                </c:pt>
                <c:pt idx="4">
                  <c:v>2.8248587570621469E-2</c:v>
                </c:pt>
                <c:pt idx="5">
                  <c:v>3.3898305084745763E-2</c:v>
                </c:pt>
                <c:pt idx="6">
                  <c:v>3.954802259887006E-2</c:v>
                </c:pt>
                <c:pt idx="7">
                  <c:v>4.519774011299435E-2</c:v>
                </c:pt>
                <c:pt idx="8">
                  <c:v>5.0847457627118647E-2</c:v>
                </c:pt>
                <c:pt idx="9">
                  <c:v>5.6497175141242938E-2</c:v>
                </c:pt>
                <c:pt idx="10">
                  <c:v>6.2146892655367235E-2</c:v>
                </c:pt>
                <c:pt idx="11">
                  <c:v>6.7796610169491525E-2</c:v>
                </c:pt>
                <c:pt idx="12">
                  <c:v>7.3446327683615822E-2</c:v>
                </c:pt>
                <c:pt idx="13">
                  <c:v>7.909604519774012E-2</c:v>
                </c:pt>
                <c:pt idx="14">
                  <c:v>8.4745762711864403E-2</c:v>
                </c:pt>
                <c:pt idx="15">
                  <c:v>9.03954802259887E-2</c:v>
                </c:pt>
                <c:pt idx="16">
                  <c:v>9.6045197740112997E-2</c:v>
                </c:pt>
                <c:pt idx="17">
                  <c:v>0.10169491525423729</c:v>
                </c:pt>
                <c:pt idx="18">
                  <c:v>0.10734463276836158</c:v>
                </c:pt>
                <c:pt idx="19">
                  <c:v>0.11299435028248588</c:v>
                </c:pt>
                <c:pt idx="20">
                  <c:v>0.11864406779661017</c:v>
                </c:pt>
                <c:pt idx="21">
                  <c:v>0.12429378531073447</c:v>
                </c:pt>
                <c:pt idx="22">
                  <c:v>0.12994350282485875</c:v>
                </c:pt>
                <c:pt idx="23">
                  <c:v>0.13559322033898305</c:v>
                </c:pt>
                <c:pt idx="24">
                  <c:v>0.14124293785310735</c:v>
                </c:pt>
                <c:pt idx="25">
                  <c:v>0.14689265536723164</c:v>
                </c:pt>
                <c:pt idx="26">
                  <c:v>0.15254237288135594</c:v>
                </c:pt>
                <c:pt idx="27">
                  <c:v>0.15819209039548024</c:v>
                </c:pt>
                <c:pt idx="28">
                  <c:v>0.16384180790960451</c:v>
                </c:pt>
                <c:pt idx="29">
                  <c:v>0.16949152542372881</c:v>
                </c:pt>
                <c:pt idx="30">
                  <c:v>0.1751412429378531</c:v>
                </c:pt>
                <c:pt idx="31">
                  <c:v>0.1807909604519774</c:v>
                </c:pt>
                <c:pt idx="32">
                  <c:v>0.1864406779661017</c:v>
                </c:pt>
                <c:pt idx="33">
                  <c:v>0.19209039548022599</c:v>
                </c:pt>
                <c:pt idx="34">
                  <c:v>0.19774011299435029</c:v>
                </c:pt>
                <c:pt idx="35">
                  <c:v>0.20338983050847459</c:v>
                </c:pt>
                <c:pt idx="36">
                  <c:v>0.20903954802259886</c:v>
                </c:pt>
                <c:pt idx="37">
                  <c:v>0.21468926553672316</c:v>
                </c:pt>
                <c:pt idx="38">
                  <c:v>0.22033898305084745</c:v>
                </c:pt>
                <c:pt idx="39">
                  <c:v>0.22598870056497175</c:v>
                </c:pt>
                <c:pt idx="40">
                  <c:v>0.23163841807909605</c:v>
                </c:pt>
                <c:pt idx="41">
                  <c:v>0.23728813559322035</c:v>
                </c:pt>
                <c:pt idx="42">
                  <c:v>0.24293785310734464</c:v>
                </c:pt>
                <c:pt idx="43">
                  <c:v>0.24858757062146894</c:v>
                </c:pt>
                <c:pt idx="44">
                  <c:v>0.25423728813559321</c:v>
                </c:pt>
                <c:pt idx="45">
                  <c:v>0.25988700564971751</c:v>
                </c:pt>
                <c:pt idx="46">
                  <c:v>0.2655367231638418</c:v>
                </c:pt>
                <c:pt idx="47">
                  <c:v>0.2711864406779661</c:v>
                </c:pt>
                <c:pt idx="48">
                  <c:v>0.2768361581920904</c:v>
                </c:pt>
                <c:pt idx="49">
                  <c:v>0.2824858757062147</c:v>
                </c:pt>
                <c:pt idx="50">
                  <c:v>0.28813559322033899</c:v>
                </c:pt>
                <c:pt idx="51">
                  <c:v>0.29378531073446329</c:v>
                </c:pt>
                <c:pt idx="52">
                  <c:v>0.29943502824858759</c:v>
                </c:pt>
                <c:pt idx="53">
                  <c:v>0.30508474576271188</c:v>
                </c:pt>
                <c:pt idx="54">
                  <c:v>0.31073446327683618</c:v>
                </c:pt>
                <c:pt idx="55">
                  <c:v>0.31638418079096048</c:v>
                </c:pt>
                <c:pt idx="56">
                  <c:v>0.32203389830508472</c:v>
                </c:pt>
                <c:pt idx="57">
                  <c:v>0.32768361581920902</c:v>
                </c:pt>
                <c:pt idx="58">
                  <c:v>0.33333333333333331</c:v>
                </c:pt>
                <c:pt idx="59">
                  <c:v>0.33898305084745761</c:v>
                </c:pt>
                <c:pt idx="60">
                  <c:v>0.34463276836158191</c:v>
                </c:pt>
                <c:pt idx="61">
                  <c:v>0.35028248587570621</c:v>
                </c:pt>
                <c:pt idx="62">
                  <c:v>0.3559322033898305</c:v>
                </c:pt>
                <c:pt idx="63">
                  <c:v>0.3615819209039548</c:v>
                </c:pt>
                <c:pt idx="64">
                  <c:v>0.3672316384180791</c:v>
                </c:pt>
                <c:pt idx="65">
                  <c:v>0.3728813559322034</c:v>
                </c:pt>
                <c:pt idx="66">
                  <c:v>0.37853107344632769</c:v>
                </c:pt>
                <c:pt idx="67">
                  <c:v>0.38418079096045199</c:v>
                </c:pt>
                <c:pt idx="68">
                  <c:v>0.38983050847457629</c:v>
                </c:pt>
                <c:pt idx="69">
                  <c:v>0.39548022598870058</c:v>
                </c:pt>
                <c:pt idx="70">
                  <c:v>0.40112994350282488</c:v>
                </c:pt>
                <c:pt idx="71">
                  <c:v>0.40677966101694918</c:v>
                </c:pt>
                <c:pt idx="72">
                  <c:v>0.41242937853107342</c:v>
                </c:pt>
                <c:pt idx="73">
                  <c:v>0.41807909604519772</c:v>
                </c:pt>
                <c:pt idx="74">
                  <c:v>0.42372881355932202</c:v>
                </c:pt>
                <c:pt idx="75">
                  <c:v>0.42937853107344631</c:v>
                </c:pt>
                <c:pt idx="76">
                  <c:v>0.43502824858757061</c:v>
                </c:pt>
                <c:pt idx="77">
                  <c:v>0.44067796610169491</c:v>
                </c:pt>
                <c:pt idx="78">
                  <c:v>0.4463276836158192</c:v>
                </c:pt>
                <c:pt idx="79">
                  <c:v>0.4519774011299435</c:v>
                </c:pt>
                <c:pt idx="80">
                  <c:v>0.4576271186440678</c:v>
                </c:pt>
                <c:pt idx="81">
                  <c:v>0.4632768361581921</c:v>
                </c:pt>
                <c:pt idx="82">
                  <c:v>0.46892655367231639</c:v>
                </c:pt>
                <c:pt idx="83">
                  <c:v>0.47457627118644069</c:v>
                </c:pt>
                <c:pt idx="84">
                  <c:v>0.48022598870056499</c:v>
                </c:pt>
                <c:pt idx="85">
                  <c:v>0.48587570621468928</c:v>
                </c:pt>
                <c:pt idx="86">
                  <c:v>0.49152542372881358</c:v>
                </c:pt>
                <c:pt idx="87">
                  <c:v>0.49717514124293788</c:v>
                </c:pt>
                <c:pt idx="88">
                  <c:v>0.50282485875706218</c:v>
                </c:pt>
                <c:pt idx="89">
                  <c:v>0.50847457627118642</c:v>
                </c:pt>
                <c:pt idx="90">
                  <c:v>0.51412429378531077</c:v>
                </c:pt>
                <c:pt idx="91">
                  <c:v>0.51977401129943501</c:v>
                </c:pt>
                <c:pt idx="92">
                  <c:v>0.52542372881355937</c:v>
                </c:pt>
                <c:pt idx="93">
                  <c:v>0.53107344632768361</c:v>
                </c:pt>
                <c:pt idx="94">
                  <c:v>0.53672316384180796</c:v>
                </c:pt>
                <c:pt idx="95">
                  <c:v>0.5423728813559322</c:v>
                </c:pt>
                <c:pt idx="96">
                  <c:v>0.54802259887005644</c:v>
                </c:pt>
                <c:pt idx="97">
                  <c:v>0.5536723163841808</c:v>
                </c:pt>
                <c:pt idx="98">
                  <c:v>0.55932203389830504</c:v>
                </c:pt>
                <c:pt idx="99">
                  <c:v>0.56497175141242939</c:v>
                </c:pt>
                <c:pt idx="100">
                  <c:v>0.57062146892655363</c:v>
                </c:pt>
                <c:pt idx="101">
                  <c:v>0.57627118644067798</c:v>
                </c:pt>
                <c:pt idx="102">
                  <c:v>0.58192090395480223</c:v>
                </c:pt>
                <c:pt idx="103">
                  <c:v>0.58757062146892658</c:v>
                </c:pt>
                <c:pt idx="104">
                  <c:v>0.59322033898305082</c:v>
                </c:pt>
                <c:pt idx="105">
                  <c:v>0.59887005649717517</c:v>
                </c:pt>
                <c:pt idx="106">
                  <c:v>0.60451977401129942</c:v>
                </c:pt>
                <c:pt idx="107">
                  <c:v>0.61016949152542377</c:v>
                </c:pt>
                <c:pt idx="108">
                  <c:v>0.61581920903954801</c:v>
                </c:pt>
                <c:pt idx="109">
                  <c:v>0.62146892655367236</c:v>
                </c:pt>
                <c:pt idx="110">
                  <c:v>0.6271186440677966</c:v>
                </c:pt>
                <c:pt idx="111">
                  <c:v>0.63276836158192096</c:v>
                </c:pt>
                <c:pt idx="112">
                  <c:v>0.6384180790960452</c:v>
                </c:pt>
                <c:pt idx="113">
                  <c:v>0.64406779661016944</c:v>
                </c:pt>
                <c:pt idx="114">
                  <c:v>0.64971751412429379</c:v>
                </c:pt>
                <c:pt idx="115">
                  <c:v>0.65536723163841804</c:v>
                </c:pt>
                <c:pt idx="116">
                  <c:v>0.66101694915254239</c:v>
                </c:pt>
                <c:pt idx="117">
                  <c:v>0.66666666666666663</c:v>
                </c:pt>
                <c:pt idx="118">
                  <c:v>0.67231638418079098</c:v>
                </c:pt>
                <c:pt idx="119">
                  <c:v>0.67796610169491522</c:v>
                </c:pt>
                <c:pt idx="120">
                  <c:v>0.68361581920903958</c:v>
                </c:pt>
                <c:pt idx="121">
                  <c:v>0.68926553672316382</c:v>
                </c:pt>
                <c:pt idx="122">
                  <c:v>0.69491525423728817</c:v>
                </c:pt>
                <c:pt idx="123">
                  <c:v>0.70056497175141241</c:v>
                </c:pt>
                <c:pt idx="124">
                  <c:v>0.70621468926553677</c:v>
                </c:pt>
                <c:pt idx="125">
                  <c:v>0.71186440677966101</c:v>
                </c:pt>
                <c:pt idx="126">
                  <c:v>0.71751412429378536</c:v>
                </c:pt>
                <c:pt idx="127">
                  <c:v>0.7231638418079096</c:v>
                </c:pt>
                <c:pt idx="128">
                  <c:v>0.72881355932203384</c:v>
                </c:pt>
                <c:pt idx="129">
                  <c:v>0.7344632768361582</c:v>
                </c:pt>
                <c:pt idx="130">
                  <c:v>0.74011299435028244</c:v>
                </c:pt>
                <c:pt idx="131">
                  <c:v>0.74576271186440679</c:v>
                </c:pt>
                <c:pt idx="132">
                  <c:v>0.75141242937853103</c:v>
                </c:pt>
                <c:pt idx="133">
                  <c:v>0.75706214689265539</c:v>
                </c:pt>
                <c:pt idx="134">
                  <c:v>0.76271186440677963</c:v>
                </c:pt>
                <c:pt idx="135">
                  <c:v>0.76836158192090398</c:v>
                </c:pt>
                <c:pt idx="136">
                  <c:v>0.77401129943502822</c:v>
                </c:pt>
                <c:pt idx="137">
                  <c:v>0.77966101694915257</c:v>
                </c:pt>
                <c:pt idx="138">
                  <c:v>0.78531073446327682</c:v>
                </c:pt>
                <c:pt idx="139">
                  <c:v>0.79096045197740117</c:v>
                </c:pt>
                <c:pt idx="140">
                  <c:v>0.79661016949152541</c:v>
                </c:pt>
                <c:pt idx="141">
                  <c:v>0.80225988700564976</c:v>
                </c:pt>
                <c:pt idx="142">
                  <c:v>0.80790960451977401</c:v>
                </c:pt>
                <c:pt idx="143">
                  <c:v>0.81355932203389836</c:v>
                </c:pt>
                <c:pt idx="144">
                  <c:v>0.8192090395480226</c:v>
                </c:pt>
                <c:pt idx="145">
                  <c:v>0.82485875706214684</c:v>
                </c:pt>
                <c:pt idx="146">
                  <c:v>0.83050847457627119</c:v>
                </c:pt>
                <c:pt idx="147">
                  <c:v>0.83615819209039544</c:v>
                </c:pt>
                <c:pt idx="148">
                  <c:v>0.84180790960451979</c:v>
                </c:pt>
                <c:pt idx="149">
                  <c:v>0.84745762711864403</c:v>
                </c:pt>
                <c:pt idx="150">
                  <c:v>0.85310734463276838</c:v>
                </c:pt>
                <c:pt idx="151">
                  <c:v>0.85875706214689262</c:v>
                </c:pt>
                <c:pt idx="152">
                  <c:v>0.86440677966101698</c:v>
                </c:pt>
                <c:pt idx="153">
                  <c:v>0.87005649717514122</c:v>
                </c:pt>
                <c:pt idx="154">
                  <c:v>0.87570621468926557</c:v>
                </c:pt>
                <c:pt idx="155">
                  <c:v>0.88135593220338981</c:v>
                </c:pt>
                <c:pt idx="156">
                  <c:v>0.88700564971751417</c:v>
                </c:pt>
                <c:pt idx="157">
                  <c:v>0.89265536723163841</c:v>
                </c:pt>
                <c:pt idx="158">
                  <c:v>0.89830508474576276</c:v>
                </c:pt>
                <c:pt idx="159">
                  <c:v>0.903954802259887</c:v>
                </c:pt>
                <c:pt idx="160">
                  <c:v>0.90960451977401124</c:v>
                </c:pt>
                <c:pt idx="161">
                  <c:v>0.9152542372881356</c:v>
                </c:pt>
                <c:pt idx="162">
                  <c:v>0.92090395480225984</c:v>
                </c:pt>
                <c:pt idx="163">
                  <c:v>0.92655367231638419</c:v>
                </c:pt>
                <c:pt idx="164">
                  <c:v>0.93220338983050843</c:v>
                </c:pt>
                <c:pt idx="165">
                  <c:v>0.93785310734463279</c:v>
                </c:pt>
                <c:pt idx="166">
                  <c:v>0.94350282485875703</c:v>
                </c:pt>
                <c:pt idx="167">
                  <c:v>0.94915254237288138</c:v>
                </c:pt>
                <c:pt idx="168">
                  <c:v>0.95480225988700562</c:v>
                </c:pt>
                <c:pt idx="169">
                  <c:v>0.96045197740112997</c:v>
                </c:pt>
                <c:pt idx="170">
                  <c:v>0.96610169491525422</c:v>
                </c:pt>
                <c:pt idx="171">
                  <c:v>0.97175141242937857</c:v>
                </c:pt>
                <c:pt idx="172">
                  <c:v>0.97740112994350281</c:v>
                </c:pt>
                <c:pt idx="173">
                  <c:v>0.98305084745762716</c:v>
                </c:pt>
                <c:pt idx="174">
                  <c:v>0.98870056497175141</c:v>
                </c:pt>
                <c:pt idx="175">
                  <c:v>0.99435028248587576</c:v>
                </c:pt>
              </c:numCache>
            </c:numRef>
          </c:yVal>
          <c:smooth val="1"/>
        </c:ser>
        <c:ser>
          <c:idx val="0"/>
          <c:order val="1"/>
          <c:spPr>
            <a:ln>
              <a:solidFill>
                <a:schemeClr val="accent1"/>
              </a:solidFill>
              <a:prstDash val="dash"/>
            </a:ln>
          </c:spPr>
          <c:xVal>
            <c:numRef>
              <c:f>XCD!$K$9:$L$9</c:f>
              <c:numCache>
                <c:formatCode>0.00</c:formatCode>
                <c:ptCount val="2"/>
                <c:pt idx="0" formatCode="General">
                  <c:v>-100</c:v>
                </c:pt>
                <c:pt idx="1">
                  <c:v>12810.6</c:v>
                </c:pt>
              </c:numCache>
            </c:numRef>
          </c:xVal>
          <c:yVal>
            <c:numRef>
              <c:f>XCD!$K$10:$L$10</c:f>
              <c:numCache>
                <c:formatCode>General</c:formatCode>
                <c:ptCount val="2"/>
                <c:pt idx="0">
                  <c:v>0.05</c:v>
                </c:pt>
                <c:pt idx="1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64104"/>
        <c:axId val="664443256"/>
      </c:scatterChart>
      <c:valAx>
        <c:axId val="394564104"/>
        <c:scaling>
          <c:orientation val="minMax"/>
          <c:max val="12000"/>
          <c:min val="0"/>
        </c:scaling>
        <c:delete val="0"/>
        <c:axPos val="b"/>
        <c:title>
          <c:tx>
            <c:strRef>
              <c:f>XCD!$I$8</c:f>
              <c:strCache>
                <c:ptCount val="1"/>
                <c:pt idx="0">
                  <c:v>Specific conductivity (μS/cm)</c:v>
                </c:pt>
              </c:strCache>
            </c:strRef>
          </c:tx>
          <c:layout>
            <c:manualLayout>
              <c:xMode val="edge"/>
              <c:yMode val="edge"/>
              <c:x val="0.39354952625913209"/>
              <c:y val="0.945830315401591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43256"/>
        <c:crosses val="autoZero"/>
        <c:crossBetween val="midCat"/>
        <c:majorUnit val="2000"/>
      </c:valAx>
      <c:valAx>
        <c:axId val="664443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title>
          <c:tx>
            <c:strRef>
              <c:f>XCD!$I$7</c:f>
              <c:strCache>
                <c:ptCount val="1"/>
                <c:pt idx="0">
                  <c:v>Proportion of genera</c:v>
                </c:pt>
              </c:strCache>
            </c:strRef>
          </c:tx>
          <c:layout>
            <c:manualLayout>
              <c:xMode val="edge"/>
              <c:yMode val="edge"/>
              <c:x val="1.11152434431297E-2"/>
              <c:y val="0.332022658711877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64104"/>
        <c:crosses val="autoZero"/>
        <c:crossBetween val="midCat"/>
      </c:valAx>
      <c:spPr>
        <a:solidFill>
          <a:schemeClr val="bg1"/>
        </a:solidFill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>
      <a:outerShdw blurRad="50800" dist="50800" dir="5400000" algn="ctr" rotWithShape="0">
        <a:schemeClr val="bg1">
          <a:lumMod val="85000"/>
        </a:schemeClr>
      </a:outerShdw>
    </a:effectLst>
  </c:spPr>
  <c:txPr>
    <a:bodyPr/>
    <a:lstStyle/>
    <a:p>
      <a:pPr>
        <a:defRPr/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h_SSD_Chart">
    <tabColor rgb="FF00B050"/>
  </sheetPr>
  <sheetViews>
    <sheetView zoomScale="11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104775</xdr:rowOff>
    </xdr:from>
    <xdr:to>
      <xdr:col>13</xdr:col>
      <xdr:colOff>666749</xdr:colOff>
      <xdr:row>4</xdr:row>
      <xdr:rowOff>85725</xdr:rowOff>
    </xdr:to>
    <xdr:sp macro="" textlink="">
      <xdr:nvSpPr>
        <xdr:cNvPr id="2" name="Rectangle 1"/>
        <xdr:cNvSpPr/>
      </xdr:nvSpPr>
      <xdr:spPr>
        <a:xfrm>
          <a:off x="190500" y="104775"/>
          <a:ext cx="8648699" cy="74295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3200" b="1">
              <a:ln w="12700" cmpd="sng">
                <a:solidFill>
                  <a:schemeClr val="accent5">
                    <a:lumMod val="40000"/>
                    <a:lumOff val="60000"/>
                  </a:schemeClr>
                </a:solidFill>
              </a:ln>
              <a:solidFill>
                <a:schemeClr val="tx1"/>
              </a:solidFill>
              <a:effectLst/>
            </a:rPr>
            <a:t>Biological Extirpation Analysis Tool</a:t>
          </a:r>
          <a:r>
            <a:rPr lang="en-US" sz="3200" b="1" baseline="0">
              <a:ln w="12700" cmpd="sng">
                <a:solidFill>
                  <a:schemeClr val="accent5">
                    <a:lumMod val="40000"/>
                    <a:lumOff val="60000"/>
                  </a:schemeClr>
                </a:solidFill>
              </a:ln>
              <a:solidFill>
                <a:schemeClr val="tx1"/>
              </a:solidFill>
              <a:effectLst/>
            </a:rPr>
            <a:t> (HC05)</a:t>
          </a:r>
          <a:r>
            <a:rPr lang="en-US" sz="3200" b="1">
              <a:ln w="12700" cmpd="sng">
                <a:solidFill>
                  <a:schemeClr val="accent5">
                    <a:lumMod val="40000"/>
                    <a:lumOff val="60000"/>
                  </a:schemeClr>
                </a:solidFill>
              </a:ln>
              <a:solidFill>
                <a:schemeClr val="tx1"/>
              </a:solidFill>
              <a:effectLst/>
            </a:rPr>
            <a:t> v1.4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447675</xdr:colOff>
          <xdr:row>7</xdr:row>
          <xdr:rowOff>180975</xdr:rowOff>
        </xdr:from>
        <xdr:to>
          <xdr:col>18</xdr:col>
          <xdr:colOff>295275</xdr:colOff>
          <xdr:row>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Test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</xdr:row>
          <xdr:rowOff>28575</xdr:rowOff>
        </xdr:from>
        <xdr:to>
          <xdr:col>8</xdr:col>
          <xdr:colOff>533400</xdr:colOff>
          <xdr:row>2</xdr:row>
          <xdr:rowOff>152400</xdr:rowOff>
        </xdr:to>
        <xdr:sp macro="" textlink="">
          <xdr:nvSpPr>
            <xdr:cNvPr id="7169" name="Button_CalcSSD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XCD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5</xdr:row>
      <xdr:rowOff>19050</xdr:rowOff>
    </xdr:from>
    <xdr:to>
      <xdr:col>15</xdr:col>
      <xdr:colOff>895350</xdr:colOff>
      <xdr:row>26</xdr:row>
      <xdr:rowOff>0</xdr:rowOff>
    </xdr:to>
    <xdr:graphicFrame macro="">
      <xdr:nvGraphicFramePr>
        <xdr:cNvPr id="2" name="Chart 1" title="Weighted Cumulative Distribution Functi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0.8508</cdr:x>
      <cdr:y>0.01188</cdr:y>
    </cdr:from>
    <cdr:to>
      <cdr:x>1</cdr:x>
      <cdr:y>0.06621</cdr:y>
    </cdr:to>
    <cdr:sp macro="" textlink="XCD!$L$2">
      <cdr:nvSpPr>
        <cdr:cNvPr id="2" name="TextBox 1"/>
        <cdr:cNvSpPr txBox="1"/>
      </cdr:nvSpPr>
      <cdr:spPr>
        <a:xfrm xmlns:a="http://schemas.openxmlformats.org/drawingml/2006/main">
          <a:off x="7384550" y="74916"/>
          <a:ext cx="1294972" cy="3424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B63E0A0-CD29-438B-A1D4-81C07B0DAFD1}" type="TxLink">
            <a:rPr lang="en-US" sz="2000" b="1" i="0" u="none" strike="noStrike">
              <a:solidFill>
                <a:srgbClr val="FF0000"/>
              </a:solidFill>
              <a:latin typeface="Calibri"/>
            </a:rPr>
            <a:pPr/>
            <a:t> </a:t>
          </a:fld>
          <a:endParaRPr lang="en-US" sz="1100" b="1"/>
        </a:p>
      </cdr:txBody>
    </cdr:sp>
  </cdr:relSizeAnchor>
  <cdr:relSizeAnchor xmlns:cdr="http://schemas.openxmlformats.org/drawingml/2006/chartDrawing">
    <cdr:from>
      <cdr:x>0.83354</cdr:x>
      <cdr:y>0.00976</cdr:y>
    </cdr:from>
    <cdr:to>
      <cdr:x>0.96301</cdr:x>
      <cdr:y>0.06409</cdr:y>
    </cdr:to>
    <cdr:sp macro="" textlink="XCD!$K$2">
      <cdr:nvSpPr>
        <cdr:cNvPr id="3" name="TextBox 1"/>
        <cdr:cNvSpPr txBox="1"/>
      </cdr:nvSpPr>
      <cdr:spPr>
        <a:xfrm xmlns:a="http://schemas.openxmlformats.org/drawingml/2006/main">
          <a:off x="7234719" y="61502"/>
          <a:ext cx="1123735" cy="3424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0CA1C87-D722-4C82-AB16-363C211039AA}" type="TxLink">
            <a:rPr lang="en-US" sz="2000" b="1" i="0" u="none" strike="noStrike">
              <a:solidFill>
                <a:srgbClr val="FF0000"/>
              </a:solidFill>
              <a:latin typeface="Calibri"/>
            </a:rPr>
            <a:pPr/>
            <a:t>244.7</a:t>
          </a:fld>
          <a:endParaRPr lang="en-US" sz="11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0.72718</cdr:x>
      <cdr:y>0.00976</cdr:y>
    </cdr:from>
    <cdr:to>
      <cdr:x>0.83231</cdr:x>
      <cdr:y>0.06409</cdr:y>
    </cdr:to>
    <cdr:sp macro="" textlink="XCD!$J$2">
      <cdr:nvSpPr>
        <cdr:cNvPr id="4" name="TextBox 1"/>
        <cdr:cNvSpPr txBox="1"/>
      </cdr:nvSpPr>
      <cdr:spPr>
        <a:xfrm xmlns:a="http://schemas.openxmlformats.org/drawingml/2006/main">
          <a:off x="6311614" y="61502"/>
          <a:ext cx="912403" cy="3424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BA27B0E-175C-4B8F-AD34-29939CD06F0D}" type="TxLink">
            <a:rPr lang="en-US" sz="2000" b="1" i="0" u="none" strike="noStrike">
              <a:solidFill>
                <a:srgbClr val="000000"/>
              </a:solidFill>
              <a:latin typeface="Calibri"/>
            </a:rPr>
            <a:pPr/>
            <a:t>HC05 = </a:t>
          </a:fld>
          <a:endParaRPr lang="en-US" sz="11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NOTES">
    <tabColor theme="1" tint="0.499984740745262"/>
  </sheetPr>
  <dimension ref="B3:P30"/>
  <sheetViews>
    <sheetView showGridLines="0" showRowColHeaders="0" tabSelected="1" workbookViewId="0">
      <pane ySplit="5" topLeftCell="A6" activePane="bottomLeft" state="frozen"/>
      <selection pane="bottomLeft" activeCell="L11" sqref="L11"/>
    </sheetView>
  </sheetViews>
  <sheetFormatPr defaultRowHeight="15" x14ac:dyDescent="0.25"/>
  <cols>
    <col min="1" max="1" width="2.5703125" style="1" customWidth="1"/>
    <col min="2" max="14" width="10" style="1" customWidth="1"/>
    <col min="15" max="15" width="10.42578125" style="1" bestFit="1" customWidth="1"/>
    <col min="16" max="16384" width="9.140625" style="1"/>
  </cols>
  <sheetData>
    <row r="3" spans="2:16" x14ac:dyDescent="0.25"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2:16" x14ac:dyDescent="0.25">
      <c r="O4" s="74">
        <v>42747</v>
      </c>
    </row>
    <row r="5" spans="2:16" ht="15.75" thickBot="1" x14ac:dyDescent="0.3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2:16" ht="15.75" thickTop="1" x14ac:dyDescent="0.25">
      <c r="B6" s="4" t="s">
        <v>183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14"/>
      <c r="P6" s="1" t="s">
        <v>302</v>
      </c>
    </row>
    <row r="7" spans="2:16" x14ac:dyDescent="0.25">
      <c r="B7" s="72" t="s">
        <v>311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2"/>
      <c r="P7" s="1" t="s">
        <v>303</v>
      </c>
    </row>
    <row r="8" spans="2:16" x14ac:dyDescent="0.25">
      <c r="B8" s="13" t="s">
        <v>304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2"/>
    </row>
    <row r="9" spans="2:16" x14ac:dyDescent="0.25">
      <c r="B9" s="11" t="s">
        <v>184</v>
      </c>
      <c r="C9" s="10" t="s">
        <v>299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2"/>
    </row>
    <row r="10" spans="2:16" x14ac:dyDescent="0.25">
      <c r="B10" s="11" t="s">
        <v>185</v>
      </c>
      <c r="C10" s="10" t="s">
        <v>186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2"/>
    </row>
    <row r="11" spans="2:16" x14ac:dyDescent="0.25">
      <c r="B11" s="11" t="s">
        <v>187</v>
      </c>
      <c r="C11" s="10" t="s">
        <v>188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2"/>
    </row>
    <row r="12" spans="2:16" x14ac:dyDescent="0.25">
      <c r="B12" s="11" t="s">
        <v>189</v>
      </c>
      <c r="C12" s="10" t="s">
        <v>190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2"/>
    </row>
    <row r="13" spans="2:16" x14ac:dyDescent="0.25">
      <c r="B13" s="11" t="s">
        <v>191</v>
      </c>
      <c r="C13" s="10" t="s">
        <v>300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2"/>
    </row>
    <row r="14" spans="2:16" x14ac:dyDescent="0.25">
      <c r="B14" s="9" t="s">
        <v>192</v>
      </c>
      <c r="C14" s="10" t="s">
        <v>193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2"/>
    </row>
    <row r="15" spans="2:16" x14ac:dyDescent="0.25">
      <c r="B15" s="9" t="s">
        <v>194</v>
      </c>
      <c r="C15" s="10" t="s">
        <v>195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2"/>
    </row>
    <row r="16" spans="2:16" x14ac:dyDescent="0.25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2"/>
    </row>
    <row r="17" spans="2:14" x14ac:dyDescent="0.25">
      <c r="B17" s="7" t="s">
        <v>305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2"/>
    </row>
    <row r="18" spans="2:14" x14ac:dyDescent="0.25">
      <c r="B18" s="11" t="s">
        <v>184</v>
      </c>
      <c r="C18" s="10" t="s">
        <v>196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2"/>
    </row>
    <row r="19" spans="2:14" x14ac:dyDescent="0.25">
      <c r="B19" s="11" t="s">
        <v>185</v>
      </c>
      <c r="C19" s="10" t="s">
        <v>197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2"/>
    </row>
    <row r="20" spans="2:14" x14ac:dyDescent="0.25">
      <c r="B20" s="11" t="s">
        <v>187</v>
      </c>
      <c r="C20" s="10" t="s">
        <v>198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2"/>
    </row>
    <row r="21" spans="2:14" ht="15.75" thickBot="1" x14ac:dyDescent="0.3">
      <c r="B21" s="8" t="s">
        <v>189</v>
      </c>
      <c r="C21" s="6" t="s">
        <v>199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16"/>
    </row>
    <row r="22" spans="2:14" ht="16.5" thickTop="1" thickBot="1" x14ac:dyDescent="0.3">
      <c r="B22" s="17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2:14" ht="18" x14ac:dyDescent="0.25">
      <c r="B23" s="20" t="s">
        <v>200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2"/>
    </row>
    <row r="24" spans="2:14" x14ac:dyDescent="0.25">
      <c r="B24" s="23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24"/>
    </row>
    <row r="25" spans="2:14" x14ac:dyDescent="0.25">
      <c r="B25" s="30" t="s">
        <v>294</v>
      </c>
      <c r="C25" s="10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25"/>
    </row>
    <row r="26" spans="2:14" x14ac:dyDescent="0.25">
      <c r="B26" s="30"/>
      <c r="C26" s="10" t="s">
        <v>295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25"/>
    </row>
    <row r="27" spans="2:14" x14ac:dyDescent="0.25">
      <c r="B27" s="26" t="s">
        <v>288</v>
      </c>
      <c r="C27" s="10" t="s">
        <v>297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25"/>
    </row>
    <row r="28" spans="2:14" x14ac:dyDescent="0.25">
      <c r="B28" s="26"/>
      <c r="C28" s="10" t="s">
        <v>298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25"/>
    </row>
    <row r="29" spans="2:14" x14ac:dyDescent="0.25">
      <c r="B29" s="26"/>
      <c r="C29" s="10" t="s">
        <v>296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25"/>
    </row>
    <row r="30" spans="2:14" ht="15.75" thickBot="1" x14ac:dyDescent="0.3">
      <c r="B30" s="27" t="s">
        <v>310</v>
      </c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28"/>
    </row>
  </sheetData>
  <sheetProtection sheet="1" objects="1" scenarios="1"/>
  <pageMargins left="0.7" right="0.7" top="0.75" bottom="0.75" header="0.3" footer="0.3"/>
  <ignoredErrors>
    <ignoredError sqref="B9:B16 B18:B21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mdMacroTest">
                <anchor moveWithCells="1" sizeWithCells="1">
                  <from>
                    <xdr:col>15</xdr:col>
                    <xdr:colOff>447675</xdr:colOff>
                    <xdr:row>7</xdr:row>
                    <xdr:rowOff>180975</xdr:rowOff>
                  </from>
                  <to>
                    <xdr:col>18</xdr:col>
                    <xdr:colOff>295275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XC95_Select">
    <tabColor rgb="FF00B0F0"/>
  </sheetPr>
  <dimension ref="A1:K182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4.5703125" customWidth="1"/>
    <col min="2" max="2" width="16.7109375" bestFit="1" customWidth="1"/>
    <col min="3" max="3" width="18.140625" bestFit="1" customWidth="1"/>
    <col min="4" max="4" width="7.5703125" bestFit="1" customWidth="1"/>
    <col min="5" max="5" width="5" bestFit="1" customWidth="1"/>
    <col min="6" max="6" width="13.28515625" customWidth="1"/>
    <col min="11" max="11" width="12.85546875" bestFit="1" customWidth="1"/>
  </cols>
  <sheetData>
    <row r="1" spans="1:11" x14ac:dyDescent="0.25">
      <c r="A1" s="5" t="s">
        <v>301</v>
      </c>
      <c r="B1" s="5"/>
      <c r="C1" s="5"/>
      <c r="D1" s="5"/>
      <c r="E1" s="5"/>
      <c r="J1">
        <f>COUNTA(A:A)-COUNTA(A1:A3)</f>
        <v>176</v>
      </c>
      <c r="K1" t="s">
        <v>306</v>
      </c>
    </row>
    <row r="2" spans="1:11" x14ac:dyDescent="0.25">
      <c r="B2" s="5" t="s">
        <v>293</v>
      </c>
      <c r="C2" s="5"/>
      <c r="D2" s="5"/>
      <c r="E2" s="5"/>
      <c r="J2">
        <f>COUNTIF(F:F,"TRUE")-COUNTIF(F1:F3,"TRUE")</f>
        <v>176</v>
      </c>
      <c r="K2" t="s">
        <v>307</v>
      </c>
    </row>
    <row r="3" spans="1:11" ht="15.75" thickBot="1" x14ac:dyDescent="0.3">
      <c r="A3" s="71" t="s">
        <v>7</v>
      </c>
      <c r="B3" s="31" t="s">
        <v>201</v>
      </c>
      <c r="C3" s="31" t="s">
        <v>202</v>
      </c>
      <c r="D3" s="71" t="s">
        <v>4</v>
      </c>
      <c r="E3" s="71" t="s">
        <v>203</v>
      </c>
      <c r="F3" s="71" t="s">
        <v>272</v>
      </c>
    </row>
    <row r="4" spans="1:11" ht="15.75" thickTop="1" x14ac:dyDescent="0.25">
      <c r="A4" s="1" t="s">
        <v>150</v>
      </c>
      <c r="B4" s="1" t="s">
        <v>204</v>
      </c>
      <c r="C4" s="1" t="s">
        <v>205</v>
      </c>
      <c r="D4" s="1">
        <v>108</v>
      </c>
      <c r="E4" s="1">
        <v>63</v>
      </c>
      <c r="F4" s="32" t="b">
        <v>1</v>
      </c>
    </row>
    <row r="5" spans="1:11" x14ac:dyDescent="0.25">
      <c r="A5" s="1" t="s">
        <v>174</v>
      </c>
      <c r="B5" s="1" t="s">
        <v>206</v>
      </c>
      <c r="C5" s="1" t="s">
        <v>207</v>
      </c>
      <c r="D5" s="1">
        <v>138</v>
      </c>
      <c r="E5" s="1">
        <v>33</v>
      </c>
      <c r="F5" s="32" t="b">
        <v>1</v>
      </c>
    </row>
    <row r="6" spans="1:11" x14ac:dyDescent="0.25">
      <c r="A6" s="1" t="s">
        <v>164</v>
      </c>
      <c r="B6" s="1" t="s">
        <v>204</v>
      </c>
      <c r="C6" s="1" t="s">
        <v>208</v>
      </c>
      <c r="D6" s="1">
        <v>159</v>
      </c>
      <c r="E6" s="1">
        <v>29</v>
      </c>
      <c r="F6" s="32" t="b">
        <v>1</v>
      </c>
    </row>
    <row r="7" spans="1:11" x14ac:dyDescent="0.25">
      <c r="A7" s="1" t="s">
        <v>89</v>
      </c>
      <c r="B7" s="1" t="s">
        <v>209</v>
      </c>
      <c r="C7" s="1" t="s">
        <v>210</v>
      </c>
      <c r="D7" s="1">
        <v>183</v>
      </c>
      <c r="E7" s="1">
        <v>170</v>
      </c>
      <c r="F7" s="32" t="b">
        <v>1</v>
      </c>
    </row>
    <row r="8" spans="1:11" x14ac:dyDescent="0.25">
      <c r="A8" s="1" t="s">
        <v>178</v>
      </c>
      <c r="B8" s="1" t="s">
        <v>204</v>
      </c>
      <c r="C8" s="1" t="s">
        <v>211</v>
      </c>
      <c r="D8" s="1">
        <v>231</v>
      </c>
      <c r="E8" s="1">
        <v>48</v>
      </c>
      <c r="F8" s="32" t="b">
        <v>1</v>
      </c>
    </row>
    <row r="9" spans="1:11" x14ac:dyDescent="0.25">
      <c r="A9" s="1" t="s">
        <v>90</v>
      </c>
      <c r="B9" s="1" t="s">
        <v>206</v>
      </c>
      <c r="C9" s="1" t="s">
        <v>212</v>
      </c>
      <c r="D9" s="1">
        <v>235</v>
      </c>
      <c r="E9" s="1">
        <v>115</v>
      </c>
      <c r="F9" s="32" t="b">
        <v>1</v>
      </c>
      <c r="H9" s="5"/>
    </row>
    <row r="10" spans="1:11" x14ac:dyDescent="0.25">
      <c r="A10" s="1" t="s">
        <v>62</v>
      </c>
      <c r="B10" s="1" t="s">
        <v>206</v>
      </c>
      <c r="C10" s="1" t="s">
        <v>207</v>
      </c>
      <c r="D10" s="1">
        <v>243</v>
      </c>
      <c r="E10" s="1">
        <v>295</v>
      </c>
      <c r="F10" s="32" t="b">
        <v>1</v>
      </c>
    </row>
    <row r="11" spans="1:11" x14ac:dyDescent="0.25">
      <c r="A11" s="1" t="s">
        <v>170</v>
      </c>
      <c r="B11" s="1" t="s">
        <v>204</v>
      </c>
      <c r="C11" s="1" t="s">
        <v>213</v>
      </c>
      <c r="D11" s="1">
        <v>243</v>
      </c>
      <c r="E11" s="1">
        <v>121</v>
      </c>
      <c r="F11" s="32" t="b">
        <v>1</v>
      </c>
    </row>
    <row r="12" spans="1:11" x14ac:dyDescent="0.25">
      <c r="A12" s="1" t="s">
        <v>14</v>
      </c>
      <c r="B12" s="1" t="s">
        <v>204</v>
      </c>
      <c r="C12" s="1" t="s">
        <v>211</v>
      </c>
      <c r="D12" s="1">
        <v>245</v>
      </c>
      <c r="E12" s="1">
        <v>131</v>
      </c>
      <c r="F12" s="32" t="b">
        <v>1</v>
      </c>
    </row>
    <row r="13" spans="1:11" x14ac:dyDescent="0.25">
      <c r="A13" s="1" t="s">
        <v>39</v>
      </c>
      <c r="B13" s="1" t="s">
        <v>206</v>
      </c>
      <c r="C13" s="1" t="s">
        <v>214</v>
      </c>
      <c r="D13" s="1">
        <v>281</v>
      </c>
      <c r="E13" s="1">
        <v>224</v>
      </c>
      <c r="F13" s="32" t="b">
        <v>1</v>
      </c>
    </row>
    <row r="14" spans="1:11" x14ac:dyDescent="0.25">
      <c r="A14" s="1" t="s">
        <v>42</v>
      </c>
      <c r="B14" s="1" t="s">
        <v>204</v>
      </c>
      <c r="C14" s="1" t="s">
        <v>205</v>
      </c>
      <c r="D14" s="1">
        <v>299</v>
      </c>
      <c r="E14" s="1">
        <v>27</v>
      </c>
      <c r="F14" s="32" t="b">
        <v>1</v>
      </c>
    </row>
    <row r="15" spans="1:11" x14ac:dyDescent="0.25">
      <c r="A15" s="1" t="s">
        <v>78</v>
      </c>
      <c r="B15" s="1" t="s">
        <v>206</v>
      </c>
      <c r="C15" s="1" t="s">
        <v>214</v>
      </c>
      <c r="D15" s="1">
        <v>301</v>
      </c>
      <c r="E15" s="1">
        <v>113</v>
      </c>
      <c r="F15" s="32" t="b">
        <v>1</v>
      </c>
    </row>
    <row r="16" spans="1:11" x14ac:dyDescent="0.25">
      <c r="A16" s="1" t="s">
        <v>111</v>
      </c>
      <c r="B16" s="1" t="s">
        <v>206</v>
      </c>
      <c r="C16" s="1" t="s">
        <v>214</v>
      </c>
      <c r="D16" s="1">
        <v>316</v>
      </c>
      <c r="E16" s="1">
        <v>219</v>
      </c>
      <c r="F16" s="32" t="b">
        <v>1</v>
      </c>
    </row>
    <row r="17" spans="1:6" x14ac:dyDescent="0.25">
      <c r="A17" s="1" t="s">
        <v>24</v>
      </c>
      <c r="B17" s="1" t="s">
        <v>215</v>
      </c>
      <c r="C17" s="1" t="s">
        <v>216</v>
      </c>
      <c r="D17" s="1">
        <v>324</v>
      </c>
      <c r="E17" s="1">
        <v>70</v>
      </c>
      <c r="F17" s="32" t="b">
        <v>1</v>
      </c>
    </row>
    <row r="18" spans="1:6" x14ac:dyDescent="0.25">
      <c r="A18" s="1" t="s">
        <v>169</v>
      </c>
      <c r="B18" s="1" t="s">
        <v>204</v>
      </c>
      <c r="C18" s="1" t="s">
        <v>208</v>
      </c>
      <c r="D18" s="1">
        <v>331</v>
      </c>
      <c r="E18" s="1">
        <v>44</v>
      </c>
      <c r="F18" s="32" t="b">
        <v>1</v>
      </c>
    </row>
    <row r="19" spans="1:6" x14ac:dyDescent="0.25">
      <c r="A19" s="1" t="s">
        <v>217</v>
      </c>
      <c r="B19" s="1" t="s">
        <v>215</v>
      </c>
      <c r="C19" s="1" t="s">
        <v>218</v>
      </c>
      <c r="D19" s="1">
        <v>333</v>
      </c>
      <c r="E19" s="1">
        <v>25</v>
      </c>
      <c r="F19" s="32" t="b">
        <v>1</v>
      </c>
    </row>
    <row r="20" spans="1:6" x14ac:dyDescent="0.25">
      <c r="A20" s="1" t="s">
        <v>68</v>
      </c>
      <c r="B20" s="1" t="s">
        <v>206</v>
      </c>
      <c r="C20" s="1" t="s">
        <v>207</v>
      </c>
      <c r="D20" s="1">
        <v>335</v>
      </c>
      <c r="E20" s="1">
        <v>683</v>
      </c>
      <c r="F20" s="32" t="b">
        <v>1</v>
      </c>
    </row>
    <row r="21" spans="1:6" x14ac:dyDescent="0.25">
      <c r="A21" s="1" t="s">
        <v>149</v>
      </c>
      <c r="B21" s="1" t="s">
        <v>209</v>
      </c>
      <c r="C21" s="1" t="s">
        <v>219</v>
      </c>
      <c r="D21" s="1">
        <v>343</v>
      </c>
      <c r="E21" s="1">
        <v>93</v>
      </c>
      <c r="F21" s="32" t="b">
        <v>1</v>
      </c>
    </row>
    <row r="22" spans="1:6" x14ac:dyDescent="0.25">
      <c r="A22" s="1" t="s">
        <v>66</v>
      </c>
      <c r="B22" s="1" t="s">
        <v>206</v>
      </c>
      <c r="C22" s="1" t="s">
        <v>214</v>
      </c>
      <c r="D22" s="1">
        <v>345</v>
      </c>
      <c r="E22" s="1">
        <v>752</v>
      </c>
      <c r="F22" s="32" t="b">
        <v>1</v>
      </c>
    </row>
    <row r="23" spans="1:6" x14ac:dyDescent="0.25">
      <c r="A23" s="1" t="s">
        <v>107</v>
      </c>
      <c r="B23" s="1" t="s">
        <v>209</v>
      </c>
      <c r="C23" s="1" t="s">
        <v>220</v>
      </c>
      <c r="D23" s="1">
        <v>356</v>
      </c>
      <c r="E23" s="1">
        <v>282</v>
      </c>
      <c r="F23" s="32" t="b">
        <v>1</v>
      </c>
    </row>
    <row r="24" spans="1:6" x14ac:dyDescent="0.25">
      <c r="A24" s="1" t="s">
        <v>15</v>
      </c>
      <c r="B24" s="1" t="s">
        <v>206</v>
      </c>
      <c r="C24" s="1" t="s">
        <v>221</v>
      </c>
      <c r="D24" s="1">
        <v>360</v>
      </c>
      <c r="E24" s="1">
        <v>390</v>
      </c>
      <c r="F24" s="32" t="b">
        <v>1</v>
      </c>
    </row>
    <row r="25" spans="1:6" x14ac:dyDescent="0.25">
      <c r="A25" s="1" t="s">
        <v>133</v>
      </c>
      <c r="B25" s="1" t="s">
        <v>215</v>
      </c>
      <c r="C25" s="1" t="s">
        <v>218</v>
      </c>
      <c r="D25" s="1">
        <v>387</v>
      </c>
      <c r="E25" s="1">
        <v>35</v>
      </c>
      <c r="F25" s="32" t="b">
        <v>1</v>
      </c>
    </row>
    <row r="26" spans="1:6" x14ac:dyDescent="0.25">
      <c r="A26" s="1" t="s">
        <v>124</v>
      </c>
      <c r="B26" s="1" t="s">
        <v>206</v>
      </c>
      <c r="C26" s="1" t="s">
        <v>212</v>
      </c>
      <c r="D26" s="1">
        <v>389</v>
      </c>
      <c r="E26" s="1">
        <v>675</v>
      </c>
      <c r="F26" s="32" t="b">
        <v>1</v>
      </c>
    </row>
    <row r="27" spans="1:6" x14ac:dyDescent="0.25">
      <c r="A27" s="1" t="s">
        <v>59</v>
      </c>
      <c r="B27" s="1" t="s">
        <v>204</v>
      </c>
      <c r="C27" s="1" t="s">
        <v>205</v>
      </c>
      <c r="D27" s="1">
        <v>391</v>
      </c>
      <c r="E27" s="1">
        <v>201</v>
      </c>
      <c r="F27" s="32" t="b">
        <v>1</v>
      </c>
    </row>
    <row r="28" spans="1:6" x14ac:dyDescent="0.25">
      <c r="A28" s="1" t="s">
        <v>52</v>
      </c>
      <c r="B28" s="1" t="s">
        <v>215</v>
      </c>
      <c r="C28" s="1" t="s">
        <v>218</v>
      </c>
      <c r="D28" s="1">
        <v>393</v>
      </c>
      <c r="E28" s="1">
        <v>120</v>
      </c>
      <c r="F28" s="32" t="b">
        <v>1</v>
      </c>
    </row>
    <row r="29" spans="1:6" x14ac:dyDescent="0.25">
      <c r="A29" s="1" t="s">
        <v>91</v>
      </c>
      <c r="B29" s="1" t="s">
        <v>206</v>
      </c>
      <c r="C29" s="1" t="s">
        <v>214</v>
      </c>
      <c r="D29" s="1">
        <v>396</v>
      </c>
      <c r="E29" s="1">
        <v>369</v>
      </c>
      <c r="F29" s="32" t="b">
        <v>1</v>
      </c>
    </row>
    <row r="30" spans="1:6" x14ac:dyDescent="0.25">
      <c r="A30" s="1" t="s">
        <v>142</v>
      </c>
      <c r="B30" s="1" t="s">
        <v>204</v>
      </c>
      <c r="C30" s="1" t="s">
        <v>222</v>
      </c>
      <c r="D30" s="1">
        <v>401</v>
      </c>
      <c r="E30" s="1">
        <v>35</v>
      </c>
      <c r="F30" s="32" t="b">
        <v>1</v>
      </c>
    </row>
    <row r="31" spans="1:6" x14ac:dyDescent="0.25">
      <c r="A31" s="1" t="s">
        <v>12</v>
      </c>
      <c r="B31" s="1" t="s">
        <v>209</v>
      </c>
      <c r="C31" s="1" t="s">
        <v>223</v>
      </c>
      <c r="D31" s="1">
        <v>404</v>
      </c>
      <c r="E31" s="1">
        <v>41</v>
      </c>
      <c r="F31" s="32" t="b">
        <v>1</v>
      </c>
    </row>
    <row r="32" spans="1:6" x14ac:dyDescent="0.25">
      <c r="A32" s="1" t="s">
        <v>180</v>
      </c>
      <c r="B32" s="1" t="s">
        <v>204</v>
      </c>
      <c r="C32" s="1" t="s">
        <v>205</v>
      </c>
      <c r="D32" s="1">
        <v>408</v>
      </c>
      <c r="E32" s="1">
        <v>150</v>
      </c>
      <c r="F32" s="32" t="b">
        <v>1</v>
      </c>
    </row>
    <row r="33" spans="1:6" x14ac:dyDescent="0.25">
      <c r="A33" s="1" t="s">
        <v>74</v>
      </c>
      <c r="B33" s="1" t="s">
        <v>204</v>
      </c>
      <c r="C33" s="1" t="s">
        <v>211</v>
      </c>
      <c r="D33" s="1">
        <v>410</v>
      </c>
      <c r="E33" s="1">
        <v>445</v>
      </c>
      <c r="F33" s="32" t="b">
        <v>1</v>
      </c>
    </row>
    <row r="34" spans="1:6" x14ac:dyDescent="0.25">
      <c r="A34" s="1" t="s">
        <v>119</v>
      </c>
      <c r="B34" s="1" t="s">
        <v>204</v>
      </c>
      <c r="C34" s="1" t="s">
        <v>224</v>
      </c>
      <c r="D34" s="1">
        <v>419</v>
      </c>
      <c r="E34" s="1">
        <v>50</v>
      </c>
      <c r="F34" s="32" t="b">
        <v>1</v>
      </c>
    </row>
    <row r="35" spans="1:6" x14ac:dyDescent="0.25">
      <c r="A35" s="1" t="s">
        <v>70</v>
      </c>
      <c r="B35" s="1" t="s">
        <v>206</v>
      </c>
      <c r="C35" s="1" t="s">
        <v>207</v>
      </c>
      <c r="D35" s="1">
        <v>434</v>
      </c>
      <c r="E35" s="1">
        <v>289</v>
      </c>
      <c r="F35" s="32" t="b">
        <v>1</v>
      </c>
    </row>
    <row r="36" spans="1:6" x14ac:dyDescent="0.25">
      <c r="A36" s="1" t="s">
        <v>156</v>
      </c>
      <c r="B36" s="1" t="s">
        <v>206</v>
      </c>
      <c r="C36" s="1" t="s">
        <v>207</v>
      </c>
      <c r="D36" s="1">
        <v>449</v>
      </c>
      <c r="E36" s="1">
        <v>148</v>
      </c>
      <c r="F36" s="32" t="b">
        <v>1</v>
      </c>
    </row>
    <row r="37" spans="1:6" x14ac:dyDescent="0.25">
      <c r="A37" s="1" t="s">
        <v>97</v>
      </c>
      <c r="B37" s="1" t="s">
        <v>209</v>
      </c>
      <c r="C37" s="1" t="s">
        <v>225</v>
      </c>
      <c r="D37" s="1">
        <v>450</v>
      </c>
      <c r="E37" s="1">
        <v>32</v>
      </c>
      <c r="F37" s="32" t="b">
        <v>1</v>
      </c>
    </row>
    <row r="38" spans="1:6" x14ac:dyDescent="0.25">
      <c r="A38" s="1" t="s">
        <v>140</v>
      </c>
      <c r="B38" s="1" t="s">
        <v>226</v>
      </c>
      <c r="C38" s="1" t="s">
        <v>227</v>
      </c>
      <c r="D38" s="1">
        <v>456</v>
      </c>
      <c r="E38" s="1">
        <v>128</v>
      </c>
      <c r="F38" s="32" t="b">
        <v>1</v>
      </c>
    </row>
    <row r="39" spans="1:6" x14ac:dyDescent="0.25">
      <c r="A39" s="1" t="s">
        <v>84</v>
      </c>
      <c r="B39" s="1" t="s">
        <v>204</v>
      </c>
      <c r="C39" s="1" t="s">
        <v>205</v>
      </c>
      <c r="D39" s="1">
        <v>468</v>
      </c>
      <c r="E39" s="1">
        <v>868</v>
      </c>
      <c r="F39" s="32" t="b">
        <v>1</v>
      </c>
    </row>
    <row r="40" spans="1:6" x14ac:dyDescent="0.25">
      <c r="A40" s="1" t="s">
        <v>26</v>
      </c>
      <c r="B40" s="1" t="s">
        <v>215</v>
      </c>
      <c r="C40" s="1" t="s">
        <v>228</v>
      </c>
      <c r="D40" s="1">
        <v>474</v>
      </c>
      <c r="E40" s="1">
        <v>26</v>
      </c>
      <c r="F40" s="32" t="b">
        <v>1</v>
      </c>
    </row>
    <row r="41" spans="1:6" x14ac:dyDescent="0.25">
      <c r="A41" s="1" t="s">
        <v>67</v>
      </c>
      <c r="B41" s="1" t="s">
        <v>206</v>
      </c>
      <c r="C41" s="1" t="s">
        <v>229</v>
      </c>
      <c r="D41" s="1">
        <v>478</v>
      </c>
      <c r="E41" s="1">
        <v>220</v>
      </c>
      <c r="F41" s="32" t="b">
        <v>1</v>
      </c>
    </row>
    <row r="42" spans="1:6" x14ac:dyDescent="0.25">
      <c r="A42" s="1" t="s">
        <v>148</v>
      </c>
      <c r="B42" s="1" t="s">
        <v>204</v>
      </c>
      <c r="C42" s="1" t="s">
        <v>230</v>
      </c>
      <c r="D42" s="1">
        <v>525</v>
      </c>
      <c r="E42" s="1">
        <v>211</v>
      </c>
      <c r="F42" s="32" t="b">
        <v>1</v>
      </c>
    </row>
    <row r="43" spans="1:6" x14ac:dyDescent="0.25">
      <c r="A43" s="1" t="s">
        <v>43</v>
      </c>
      <c r="B43" s="1" t="s">
        <v>215</v>
      </c>
      <c r="C43" s="1" t="s">
        <v>218</v>
      </c>
      <c r="D43" s="1">
        <v>544</v>
      </c>
      <c r="E43" s="1">
        <v>155</v>
      </c>
      <c r="F43" s="32" t="b">
        <v>1</v>
      </c>
    </row>
    <row r="44" spans="1:6" x14ac:dyDescent="0.25">
      <c r="A44" s="1" t="s">
        <v>159</v>
      </c>
      <c r="B44" s="1" t="s">
        <v>215</v>
      </c>
      <c r="C44" s="1" t="s">
        <v>218</v>
      </c>
      <c r="D44" s="1">
        <v>563</v>
      </c>
      <c r="E44" s="1">
        <v>60</v>
      </c>
      <c r="F44" s="32" t="b">
        <v>1</v>
      </c>
    </row>
    <row r="45" spans="1:6" x14ac:dyDescent="0.25">
      <c r="A45" s="1" t="s">
        <v>56</v>
      </c>
      <c r="B45" s="1" t="s">
        <v>206</v>
      </c>
      <c r="C45" s="1" t="s">
        <v>231</v>
      </c>
      <c r="D45" s="1">
        <v>611</v>
      </c>
      <c r="E45" s="1">
        <v>249</v>
      </c>
      <c r="F45" s="32" t="b">
        <v>1</v>
      </c>
    </row>
    <row r="46" spans="1:6" x14ac:dyDescent="0.25">
      <c r="A46" s="1" t="s">
        <v>139</v>
      </c>
      <c r="B46" s="1" t="s">
        <v>206</v>
      </c>
      <c r="C46" s="1" t="s">
        <v>231</v>
      </c>
      <c r="D46" s="1">
        <v>657</v>
      </c>
      <c r="E46" s="1">
        <v>145</v>
      </c>
      <c r="F46" s="32" t="b">
        <v>1</v>
      </c>
    </row>
    <row r="47" spans="1:6" x14ac:dyDescent="0.25">
      <c r="A47" s="1" t="s">
        <v>64</v>
      </c>
      <c r="B47" s="1" t="s">
        <v>204</v>
      </c>
      <c r="C47" s="1" t="s">
        <v>232</v>
      </c>
      <c r="D47" s="1">
        <v>681</v>
      </c>
      <c r="E47" s="1">
        <v>99</v>
      </c>
      <c r="F47" s="32" t="b">
        <v>1</v>
      </c>
    </row>
    <row r="48" spans="1:6" x14ac:dyDescent="0.25">
      <c r="A48" s="1" t="s">
        <v>181</v>
      </c>
      <c r="B48" s="1" t="s">
        <v>215</v>
      </c>
      <c r="C48" s="1" t="s">
        <v>218</v>
      </c>
      <c r="D48" s="1">
        <v>704</v>
      </c>
      <c r="E48" s="1">
        <v>93</v>
      </c>
      <c r="F48" s="32" t="b">
        <v>1</v>
      </c>
    </row>
    <row r="49" spans="1:6" x14ac:dyDescent="0.25">
      <c r="A49" s="1" t="s">
        <v>2</v>
      </c>
      <c r="B49" s="1" t="s">
        <v>206</v>
      </c>
      <c r="C49" s="1" t="s">
        <v>231</v>
      </c>
      <c r="D49" s="1">
        <v>710</v>
      </c>
      <c r="E49" s="1">
        <v>63</v>
      </c>
      <c r="F49" s="32" t="b">
        <v>1</v>
      </c>
    </row>
    <row r="50" spans="1:6" x14ac:dyDescent="0.25">
      <c r="A50" s="1" t="s">
        <v>73</v>
      </c>
      <c r="B50" s="1" t="s">
        <v>209</v>
      </c>
      <c r="C50" s="1" t="s">
        <v>233</v>
      </c>
      <c r="D50" s="1">
        <v>723</v>
      </c>
      <c r="E50" s="1">
        <v>34</v>
      </c>
      <c r="F50" s="32" t="b">
        <v>1</v>
      </c>
    </row>
    <row r="51" spans="1:6" x14ac:dyDescent="0.25">
      <c r="A51" s="1" t="s">
        <v>128</v>
      </c>
      <c r="B51" s="1" t="s">
        <v>204</v>
      </c>
      <c r="C51" s="1" t="s">
        <v>213</v>
      </c>
      <c r="D51" s="1">
        <v>746</v>
      </c>
      <c r="E51" s="1">
        <v>188</v>
      </c>
      <c r="F51" s="32" t="b">
        <v>1</v>
      </c>
    </row>
    <row r="52" spans="1:6" x14ac:dyDescent="0.25">
      <c r="A52" s="1" t="s">
        <v>50</v>
      </c>
      <c r="B52" s="1" t="s">
        <v>204</v>
      </c>
      <c r="C52" s="1" t="s">
        <v>205</v>
      </c>
      <c r="D52" s="1">
        <v>771</v>
      </c>
      <c r="E52" s="1">
        <v>33</v>
      </c>
      <c r="F52" s="32" t="b">
        <v>1</v>
      </c>
    </row>
    <row r="53" spans="1:6" x14ac:dyDescent="0.25">
      <c r="A53" s="1" t="s">
        <v>100</v>
      </c>
      <c r="B53" s="1" t="s">
        <v>204</v>
      </c>
      <c r="C53" s="1" t="s">
        <v>205</v>
      </c>
      <c r="D53" s="1">
        <v>771</v>
      </c>
      <c r="E53" s="1">
        <v>45</v>
      </c>
      <c r="F53" s="32" t="b">
        <v>1</v>
      </c>
    </row>
    <row r="54" spans="1:6" x14ac:dyDescent="0.25">
      <c r="A54" s="1" t="s">
        <v>98</v>
      </c>
      <c r="B54" s="1" t="s">
        <v>206</v>
      </c>
      <c r="C54" s="1" t="s">
        <v>214</v>
      </c>
      <c r="D54" s="1">
        <v>779</v>
      </c>
      <c r="E54" s="1">
        <v>793</v>
      </c>
      <c r="F54" s="32" t="b">
        <v>1</v>
      </c>
    </row>
    <row r="55" spans="1:6" x14ac:dyDescent="0.25">
      <c r="A55" s="1" t="s">
        <v>16</v>
      </c>
      <c r="B55" s="1" t="s">
        <v>204</v>
      </c>
      <c r="C55" s="1" t="s">
        <v>222</v>
      </c>
      <c r="D55" s="1">
        <v>798</v>
      </c>
      <c r="E55" s="1">
        <v>1054</v>
      </c>
      <c r="F55" s="32" t="b">
        <v>1</v>
      </c>
    </row>
    <row r="56" spans="1:6" x14ac:dyDescent="0.25">
      <c r="A56" s="1" t="s">
        <v>80</v>
      </c>
      <c r="B56" s="1" t="s">
        <v>226</v>
      </c>
      <c r="C56" s="1" t="s">
        <v>234</v>
      </c>
      <c r="D56" s="1">
        <v>822</v>
      </c>
      <c r="E56" s="1">
        <v>37</v>
      </c>
      <c r="F56" s="32" t="b">
        <v>1</v>
      </c>
    </row>
    <row r="57" spans="1:6" x14ac:dyDescent="0.25">
      <c r="A57" s="1" t="s">
        <v>134</v>
      </c>
      <c r="B57" s="1" t="s">
        <v>206</v>
      </c>
      <c r="C57" s="1" t="s">
        <v>231</v>
      </c>
      <c r="D57" s="1">
        <v>843</v>
      </c>
      <c r="E57" s="1">
        <v>716</v>
      </c>
      <c r="F57" s="32" t="b">
        <v>1</v>
      </c>
    </row>
    <row r="58" spans="1:6" x14ac:dyDescent="0.25">
      <c r="A58" s="1" t="s">
        <v>161</v>
      </c>
      <c r="B58" s="1" t="s">
        <v>206</v>
      </c>
      <c r="C58" s="1" t="s">
        <v>214</v>
      </c>
      <c r="D58" s="1">
        <v>843</v>
      </c>
      <c r="E58" s="1">
        <v>479</v>
      </c>
      <c r="F58" s="32" t="b">
        <v>1</v>
      </c>
    </row>
    <row r="59" spans="1:6" x14ac:dyDescent="0.25">
      <c r="A59" s="1" t="s">
        <v>60</v>
      </c>
      <c r="B59" s="1" t="s">
        <v>215</v>
      </c>
      <c r="C59" s="1" t="s">
        <v>235</v>
      </c>
      <c r="D59" s="1">
        <v>844</v>
      </c>
      <c r="E59" s="1">
        <v>95</v>
      </c>
      <c r="F59" s="32" t="b">
        <v>1</v>
      </c>
    </row>
    <row r="60" spans="1:6" x14ac:dyDescent="0.25">
      <c r="A60" s="1" t="s">
        <v>163</v>
      </c>
      <c r="B60" s="1" t="s">
        <v>206</v>
      </c>
      <c r="C60" s="1" t="s">
        <v>214</v>
      </c>
      <c r="D60" s="1">
        <v>845</v>
      </c>
      <c r="E60" s="1">
        <v>1218</v>
      </c>
      <c r="F60" s="32" t="b">
        <v>1</v>
      </c>
    </row>
    <row r="61" spans="1:6" x14ac:dyDescent="0.25">
      <c r="A61" s="1" t="s">
        <v>23</v>
      </c>
      <c r="B61" s="1" t="s">
        <v>206</v>
      </c>
      <c r="C61" s="1" t="s">
        <v>236</v>
      </c>
      <c r="D61" s="1">
        <v>851</v>
      </c>
      <c r="E61" s="1">
        <v>70</v>
      </c>
      <c r="F61" s="32" t="b">
        <v>1</v>
      </c>
    </row>
    <row r="62" spans="1:6" x14ac:dyDescent="0.25">
      <c r="A62" s="1" t="s">
        <v>179</v>
      </c>
      <c r="B62" s="1" t="s">
        <v>209</v>
      </c>
      <c r="C62" s="1" t="s">
        <v>237</v>
      </c>
      <c r="D62" s="1">
        <v>861</v>
      </c>
      <c r="E62" s="1">
        <v>117</v>
      </c>
      <c r="F62" s="32" t="b">
        <v>1</v>
      </c>
    </row>
    <row r="63" spans="1:6" x14ac:dyDescent="0.25">
      <c r="A63" s="1" t="s">
        <v>147</v>
      </c>
      <c r="B63" s="1" t="s">
        <v>209</v>
      </c>
      <c r="C63" s="1" t="s">
        <v>225</v>
      </c>
      <c r="D63" s="1">
        <v>895</v>
      </c>
      <c r="E63" s="1">
        <v>58</v>
      </c>
      <c r="F63" s="32" t="b">
        <v>1</v>
      </c>
    </row>
    <row r="64" spans="1:6" x14ac:dyDescent="0.25">
      <c r="A64" s="1" t="s">
        <v>86</v>
      </c>
      <c r="B64" s="1" t="s">
        <v>215</v>
      </c>
      <c r="C64" s="1" t="s">
        <v>218</v>
      </c>
      <c r="D64" s="1">
        <v>913</v>
      </c>
      <c r="E64" s="1">
        <v>32</v>
      </c>
      <c r="F64" s="32" t="b">
        <v>1</v>
      </c>
    </row>
    <row r="65" spans="1:6" x14ac:dyDescent="0.25">
      <c r="A65" s="1" t="s">
        <v>160</v>
      </c>
      <c r="B65" s="1" t="s">
        <v>215</v>
      </c>
      <c r="C65" s="1" t="s">
        <v>218</v>
      </c>
      <c r="D65" s="1">
        <v>920</v>
      </c>
      <c r="E65" s="1">
        <v>424</v>
      </c>
      <c r="F65" s="32" t="b">
        <v>1</v>
      </c>
    </row>
    <row r="66" spans="1:6" x14ac:dyDescent="0.25">
      <c r="A66" s="1" t="s">
        <v>1</v>
      </c>
      <c r="B66" s="1" t="s">
        <v>206</v>
      </c>
      <c r="C66" s="1" t="s">
        <v>231</v>
      </c>
      <c r="D66" s="1">
        <v>947</v>
      </c>
      <c r="E66" s="1">
        <v>1291</v>
      </c>
      <c r="F66" s="32" t="b">
        <v>1</v>
      </c>
    </row>
    <row r="67" spans="1:6" x14ac:dyDescent="0.25">
      <c r="A67" s="1" t="s">
        <v>19</v>
      </c>
      <c r="B67" s="1" t="s">
        <v>238</v>
      </c>
      <c r="C67" s="1" t="s">
        <v>239</v>
      </c>
      <c r="D67" s="1">
        <v>960</v>
      </c>
      <c r="E67" s="1">
        <v>33</v>
      </c>
      <c r="F67" s="32" t="b">
        <v>1</v>
      </c>
    </row>
    <row r="68" spans="1:6" x14ac:dyDescent="0.25">
      <c r="A68" s="1" t="s">
        <v>61</v>
      </c>
      <c r="B68" s="1" t="s">
        <v>209</v>
      </c>
      <c r="C68" s="1" t="s">
        <v>237</v>
      </c>
      <c r="D68" s="1">
        <v>1036</v>
      </c>
      <c r="E68" s="1">
        <v>564</v>
      </c>
      <c r="F68" s="32" t="b">
        <v>1</v>
      </c>
    </row>
    <row r="69" spans="1:6" x14ac:dyDescent="0.25">
      <c r="A69" s="1" t="s">
        <v>32</v>
      </c>
      <c r="B69" s="1" t="s">
        <v>206</v>
      </c>
      <c r="C69" s="1" t="s">
        <v>231</v>
      </c>
      <c r="D69" s="1">
        <v>1101</v>
      </c>
      <c r="E69" s="1">
        <v>104</v>
      </c>
      <c r="F69" s="32" t="b">
        <v>1</v>
      </c>
    </row>
    <row r="70" spans="1:6" x14ac:dyDescent="0.25">
      <c r="A70" s="1" t="s">
        <v>83</v>
      </c>
      <c r="B70" s="1" t="s">
        <v>206</v>
      </c>
      <c r="C70" s="1" t="s">
        <v>240</v>
      </c>
      <c r="D70" s="1">
        <v>1146</v>
      </c>
      <c r="E70" s="1">
        <v>1303</v>
      </c>
      <c r="F70" s="32" t="b">
        <v>1</v>
      </c>
    </row>
    <row r="71" spans="1:6" x14ac:dyDescent="0.25">
      <c r="A71" s="1" t="s">
        <v>120</v>
      </c>
      <c r="B71" s="1" t="s">
        <v>215</v>
      </c>
      <c r="C71" s="1" t="s">
        <v>218</v>
      </c>
      <c r="D71" s="1">
        <v>1183</v>
      </c>
      <c r="E71" s="1">
        <v>232</v>
      </c>
      <c r="F71" s="32" t="b">
        <v>1</v>
      </c>
    </row>
    <row r="72" spans="1:6" x14ac:dyDescent="0.25">
      <c r="A72" s="1" t="s">
        <v>96</v>
      </c>
      <c r="B72" s="1" t="s">
        <v>238</v>
      </c>
      <c r="C72" s="1" t="s">
        <v>239</v>
      </c>
      <c r="D72" s="1">
        <v>1190</v>
      </c>
      <c r="E72" s="1">
        <v>153</v>
      </c>
      <c r="F72" s="32" t="b">
        <v>1</v>
      </c>
    </row>
    <row r="73" spans="1:6" x14ac:dyDescent="0.25">
      <c r="A73" s="1" t="s">
        <v>58</v>
      </c>
      <c r="B73" s="1" t="s">
        <v>215</v>
      </c>
      <c r="C73" s="1" t="s">
        <v>218</v>
      </c>
      <c r="D73" s="1">
        <v>1249</v>
      </c>
      <c r="E73" s="1">
        <v>26</v>
      </c>
      <c r="F73" s="32" t="b">
        <v>1</v>
      </c>
    </row>
    <row r="74" spans="1:6" x14ac:dyDescent="0.25">
      <c r="A74" s="1" t="s">
        <v>30</v>
      </c>
      <c r="B74" s="1" t="s">
        <v>241</v>
      </c>
      <c r="C74" s="1" t="s">
        <v>242</v>
      </c>
      <c r="D74" s="1">
        <v>1311</v>
      </c>
      <c r="E74" s="1">
        <v>658</v>
      </c>
      <c r="F74" s="32" t="b">
        <v>1</v>
      </c>
    </row>
    <row r="75" spans="1:6" x14ac:dyDescent="0.25">
      <c r="A75" s="1" t="s">
        <v>153</v>
      </c>
      <c r="B75" s="1" t="s">
        <v>215</v>
      </c>
      <c r="C75" s="1" t="s">
        <v>218</v>
      </c>
      <c r="D75" s="1">
        <v>1341</v>
      </c>
      <c r="E75" s="1">
        <v>134</v>
      </c>
      <c r="F75" s="32" t="b">
        <v>1</v>
      </c>
    </row>
    <row r="76" spans="1:6" x14ac:dyDescent="0.25">
      <c r="A76" s="1" t="s">
        <v>108</v>
      </c>
      <c r="B76" s="1" t="s">
        <v>209</v>
      </c>
      <c r="C76" s="1" t="s">
        <v>243</v>
      </c>
      <c r="D76" s="1">
        <v>1424</v>
      </c>
      <c r="E76" s="1">
        <v>32</v>
      </c>
      <c r="F76" s="32" t="b">
        <v>1</v>
      </c>
    </row>
    <row r="77" spans="1:6" x14ac:dyDescent="0.25">
      <c r="A77" s="1" t="s">
        <v>72</v>
      </c>
      <c r="B77" s="1" t="s">
        <v>209</v>
      </c>
      <c r="C77" s="1" t="s">
        <v>223</v>
      </c>
      <c r="D77" s="1">
        <v>1426</v>
      </c>
      <c r="E77" s="1">
        <v>226</v>
      </c>
      <c r="F77" s="32" t="b">
        <v>1</v>
      </c>
    </row>
    <row r="78" spans="1:6" x14ac:dyDescent="0.25">
      <c r="A78" s="1" t="s">
        <v>132</v>
      </c>
      <c r="B78" s="1" t="s">
        <v>244</v>
      </c>
      <c r="C78" s="1" t="s">
        <v>245</v>
      </c>
      <c r="D78" s="1">
        <v>1445</v>
      </c>
      <c r="E78" s="1">
        <v>69</v>
      </c>
      <c r="F78" s="32" t="b">
        <v>1</v>
      </c>
    </row>
    <row r="79" spans="1:6" x14ac:dyDescent="0.25">
      <c r="A79" s="1" t="s">
        <v>141</v>
      </c>
      <c r="B79" s="1" t="s">
        <v>215</v>
      </c>
      <c r="C79" s="1" t="s">
        <v>246</v>
      </c>
      <c r="D79" s="1">
        <v>1451</v>
      </c>
      <c r="E79" s="1">
        <v>271</v>
      </c>
      <c r="F79" s="32" t="b">
        <v>1</v>
      </c>
    </row>
    <row r="80" spans="1:6" x14ac:dyDescent="0.25">
      <c r="A80" s="1" t="s">
        <v>22</v>
      </c>
      <c r="B80" s="1" t="s">
        <v>206</v>
      </c>
      <c r="C80" s="1" t="s">
        <v>231</v>
      </c>
      <c r="D80" s="1">
        <v>1460</v>
      </c>
      <c r="E80" s="1">
        <v>2493</v>
      </c>
      <c r="F80" s="32" t="b">
        <v>1</v>
      </c>
    </row>
    <row r="81" spans="1:6" x14ac:dyDescent="0.25">
      <c r="A81" s="1" t="s">
        <v>13</v>
      </c>
      <c r="B81" s="1" t="s">
        <v>204</v>
      </c>
      <c r="C81" s="1" t="s">
        <v>224</v>
      </c>
      <c r="D81" s="1">
        <v>1478</v>
      </c>
      <c r="E81" s="1">
        <v>34</v>
      </c>
      <c r="F81" s="32" t="b">
        <v>1</v>
      </c>
    </row>
    <row r="82" spans="1:6" x14ac:dyDescent="0.25">
      <c r="A82" s="1" t="s">
        <v>65</v>
      </c>
      <c r="B82" s="1" t="s">
        <v>226</v>
      </c>
      <c r="C82" s="1" t="s">
        <v>247</v>
      </c>
      <c r="D82" s="1">
        <v>1505</v>
      </c>
      <c r="E82" s="1">
        <v>501</v>
      </c>
      <c r="F82" s="32" t="b">
        <v>1</v>
      </c>
    </row>
    <row r="83" spans="1:6" x14ac:dyDescent="0.25">
      <c r="A83" s="1" t="s">
        <v>155</v>
      </c>
      <c r="B83" s="1" t="s">
        <v>209</v>
      </c>
      <c r="C83" s="1" t="s">
        <v>248</v>
      </c>
      <c r="D83" s="1">
        <v>1569</v>
      </c>
      <c r="E83" s="1">
        <v>710</v>
      </c>
      <c r="F83" s="32" t="b">
        <v>1</v>
      </c>
    </row>
    <row r="84" spans="1:6" x14ac:dyDescent="0.25">
      <c r="A84" s="1" t="s">
        <v>121</v>
      </c>
      <c r="B84" s="1" t="s">
        <v>215</v>
      </c>
      <c r="C84" s="1" t="s">
        <v>218</v>
      </c>
      <c r="D84" s="1">
        <v>1613</v>
      </c>
      <c r="E84" s="1">
        <v>32</v>
      </c>
      <c r="F84" s="32" t="b">
        <v>1</v>
      </c>
    </row>
    <row r="85" spans="1:6" x14ac:dyDescent="0.25">
      <c r="A85" s="1" t="s">
        <v>146</v>
      </c>
      <c r="B85" s="1" t="s">
        <v>215</v>
      </c>
      <c r="C85" s="1" t="s">
        <v>218</v>
      </c>
      <c r="D85" s="1">
        <v>1632</v>
      </c>
      <c r="E85" s="1">
        <v>27</v>
      </c>
      <c r="F85" s="32" t="b">
        <v>1</v>
      </c>
    </row>
    <row r="86" spans="1:6" x14ac:dyDescent="0.25">
      <c r="A86" s="1" t="s">
        <v>137</v>
      </c>
      <c r="B86" s="1" t="s">
        <v>215</v>
      </c>
      <c r="C86" s="1" t="s">
        <v>218</v>
      </c>
      <c r="D86" s="1">
        <v>1633</v>
      </c>
      <c r="E86" s="1">
        <v>89</v>
      </c>
      <c r="F86" s="32" t="b">
        <v>1</v>
      </c>
    </row>
    <row r="87" spans="1:6" x14ac:dyDescent="0.25">
      <c r="A87" s="1" t="s">
        <v>27</v>
      </c>
      <c r="B87" s="1" t="s">
        <v>215</v>
      </c>
      <c r="C87" s="1" t="s">
        <v>218</v>
      </c>
      <c r="D87" s="1">
        <v>1676</v>
      </c>
      <c r="E87" s="1">
        <v>152</v>
      </c>
      <c r="F87" s="32" t="b">
        <v>1</v>
      </c>
    </row>
    <row r="88" spans="1:6" x14ac:dyDescent="0.25">
      <c r="A88" s="1" t="s">
        <v>123</v>
      </c>
      <c r="B88" s="1" t="s">
        <v>215</v>
      </c>
      <c r="C88" s="1" t="s">
        <v>218</v>
      </c>
      <c r="D88" s="1">
        <v>1689</v>
      </c>
      <c r="E88" s="1">
        <v>91</v>
      </c>
      <c r="F88" s="32" t="b">
        <v>1</v>
      </c>
    </row>
    <row r="89" spans="1:6" x14ac:dyDescent="0.25">
      <c r="A89" s="1" t="s">
        <v>118</v>
      </c>
      <c r="B89" s="1" t="s">
        <v>215</v>
      </c>
      <c r="C89" s="1" t="s">
        <v>218</v>
      </c>
      <c r="D89" s="1">
        <v>1800</v>
      </c>
      <c r="E89" s="1">
        <v>74</v>
      </c>
      <c r="F89" s="32" t="b">
        <v>1</v>
      </c>
    </row>
    <row r="90" spans="1:6" x14ac:dyDescent="0.25">
      <c r="A90" s="1" t="s">
        <v>93</v>
      </c>
      <c r="B90" s="1" t="s">
        <v>215</v>
      </c>
      <c r="C90" s="1" t="s">
        <v>228</v>
      </c>
      <c r="D90" s="1">
        <v>1814</v>
      </c>
      <c r="E90" s="1">
        <v>70</v>
      </c>
      <c r="F90" s="32" t="b">
        <v>1</v>
      </c>
    </row>
    <row r="91" spans="1:6" x14ac:dyDescent="0.25">
      <c r="A91" s="1" t="s">
        <v>69</v>
      </c>
      <c r="B91" s="1" t="s">
        <v>215</v>
      </c>
      <c r="C91" s="1" t="s">
        <v>218</v>
      </c>
      <c r="D91" s="1">
        <v>1858</v>
      </c>
      <c r="E91" s="1">
        <v>796</v>
      </c>
      <c r="F91" s="32" t="b">
        <v>1</v>
      </c>
    </row>
    <row r="92" spans="1:6" x14ac:dyDescent="0.25">
      <c r="A92" s="1" t="s">
        <v>115</v>
      </c>
      <c r="B92" s="1" t="s">
        <v>215</v>
      </c>
      <c r="C92" s="1" t="s">
        <v>228</v>
      </c>
      <c r="D92" s="1">
        <v>1959</v>
      </c>
      <c r="E92" s="1">
        <v>42</v>
      </c>
      <c r="F92" s="32" t="b">
        <v>1</v>
      </c>
    </row>
    <row r="93" spans="1:6" x14ac:dyDescent="0.25">
      <c r="A93" s="1" t="s">
        <v>75</v>
      </c>
      <c r="B93" s="1" t="s">
        <v>215</v>
      </c>
      <c r="C93" s="1" t="s">
        <v>218</v>
      </c>
      <c r="D93" s="1">
        <v>2016</v>
      </c>
      <c r="E93" s="1">
        <v>74</v>
      </c>
      <c r="F93" s="32" t="b">
        <v>1</v>
      </c>
    </row>
    <row r="94" spans="1:6" x14ac:dyDescent="0.25">
      <c r="A94" s="1" t="s">
        <v>151</v>
      </c>
      <c r="B94" s="1" t="s">
        <v>249</v>
      </c>
      <c r="C94" s="1" t="s">
        <v>250</v>
      </c>
      <c r="D94" s="1">
        <v>2030</v>
      </c>
      <c r="E94" s="1">
        <v>52</v>
      </c>
      <c r="F94" s="32" t="b">
        <v>1</v>
      </c>
    </row>
    <row r="95" spans="1:6" x14ac:dyDescent="0.25">
      <c r="A95" s="1" t="s">
        <v>87</v>
      </c>
      <c r="B95" s="1" t="s">
        <v>251</v>
      </c>
      <c r="C95" s="1" t="s">
        <v>252</v>
      </c>
      <c r="D95" s="1">
        <v>2087</v>
      </c>
      <c r="E95" s="1">
        <v>74</v>
      </c>
      <c r="F95" s="32" t="b">
        <v>1</v>
      </c>
    </row>
    <row r="96" spans="1:6" x14ac:dyDescent="0.25">
      <c r="A96" s="1" t="s">
        <v>92</v>
      </c>
      <c r="B96" s="1" t="s">
        <v>204</v>
      </c>
      <c r="C96" s="1" t="s">
        <v>253</v>
      </c>
      <c r="D96" s="1">
        <v>2087</v>
      </c>
      <c r="E96" s="1">
        <v>1936</v>
      </c>
      <c r="F96" s="32" t="b">
        <v>1</v>
      </c>
    </row>
    <row r="97" spans="1:6" x14ac:dyDescent="0.25">
      <c r="A97" s="1" t="s">
        <v>122</v>
      </c>
      <c r="B97" s="1" t="s">
        <v>204</v>
      </c>
      <c r="C97" s="1" t="s">
        <v>232</v>
      </c>
      <c r="D97" s="1">
        <v>2087</v>
      </c>
      <c r="E97" s="1">
        <v>77</v>
      </c>
      <c r="F97" s="32" t="b">
        <v>1</v>
      </c>
    </row>
    <row r="98" spans="1:6" x14ac:dyDescent="0.25">
      <c r="A98" s="1" t="s">
        <v>166</v>
      </c>
      <c r="B98" s="1" t="s">
        <v>215</v>
      </c>
      <c r="C98" s="1" t="s">
        <v>218</v>
      </c>
      <c r="D98" s="1">
        <v>2087</v>
      </c>
      <c r="E98" s="1">
        <v>308</v>
      </c>
      <c r="F98" s="32" t="b">
        <v>1</v>
      </c>
    </row>
    <row r="99" spans="1:6" x14ac:dyDescent="0.25">
      <c r="A99" s="1" t="s">
        <v>99</v>
      </c>
      <c r="B99" s="1" t="s">
        <v>226</v>
      </c>
      <c r="C99" s="1" t="s">
        <v>227</v>
      </c>
      <c r="D99" s="1">
        <v>2160</v>
      </c>
      <c r="E99" s="1">
        <v>99</v>
      </c>
      <c r="F99" s="32" t="b">
        <v>1</v>
      </c>
    </row>
    <row r="100" spans="1:6" x14ac:dyDescent="0.25">
      <c r="A100" s="1" t="s">
        <v>47</v>
      </c>
      <c r="B100" s="1" t="s">
        <v>254</v>
      </c>
      <c r="C100" s="1" t="s">
        <v>255</v>
      </c>
      <c r="D100" s="1">
        <v>2169</v>
      </c>
      <c r="E100" s="1">
        <v>154</v>
      </c>
      <c r="F100" s="32" t="b">
        <v>1</v>
      </c>
    </row>
    <row r="101" spans="1:6" x14ac:dyDescent="0.25">
      <c r="A101" s="1" t="s">
        <v>105</v>
      </c>
      <c r="B101" s="1" t="s">
        <v>215</v>
      </c>
      <c r="C101" s="1" t="s">
        <v>228</v>
      </c>
      <c r="D101" s="1">
        <v>2169</v>
      </c>
      <c r="E101" s="1">
        <v>31</v>
      </c>
      <c r="F101" s="32" t="b">
        <v>1</v>
      </c>
    </row>
    <row r="102" spans="1:6" x14ac:dyDescent="0.25">
      <c r="A102" s="1" t="s">
        <v>21</v>
      </c>
      <c r="B102" s="1" t="s">
        <v>215</v>
      </c>
      <c r="C102" s="1" t="s">
        <v>216</v>
      </c>
      <c r="D102" s="1">
        <v>2257</v>
      </c>
      <c r="E102" s="1">
        <v>60</v>
      </c>
      <c r="F102" s="32" t="b">
        <v>1</v>
      </c>
    </row>
    <row r="103" spans="1:6" x14ac:dyDescent="0.25">
      <c r="A103" s="1" t="s">
        <v>34</v>
      </c>
      <c r="B103" s="1" t="s">
        <v>215</v>
      </c>
      <c r="C103" s="1" t="s">
        <v>218</v>
      </c>
      <c r="D103" s="1">
        <v>2320</v>
      </c>
      <c r="E103" s="1">
        <v>270</v>
      </c>
      <c r="F103" s="32" t="b">
        <v>1</v>
      </c>
    </row>
    <row r="104" spans="1:6" x14ac:dyDescent="0.25">
      <c r="A104" s="1" t="s">
        <v>85</v>
      </c>
      <c r="B104" s="1" t="s">
        <v>215</v>
      </c>
      <c r="C104" s="1" t="s">
        <v>218</v>
      </c>
      <c r="D104" s="1">
        <v>2320</v>
      </c>
      <c r="E104" s="1">
        <v>63</v>
      </c>
      <c r="F104" s="32" t="b">
        <v>1</v>
      </c>
    </row>
    <row r="105" spans="1:6" x14ac:dyDescent="0.25">
      <c r="A105" s="1" t="s">
        <v>130</v>
      </c>
      <c r="B105" s="1" t="s">
        <v>215</v>
      </c>
      <c r="C105" s="1" t="s">
        <v>218</v>
      </c>
      <c r="D105" s="1">
        <v>2332</v>
      </c>
      <c r="E105" s="1">
        <v>116</v>
      </c>
      <c r="F105" s="32" t="b">
        <v>1</v>
      </c>
    </row>
    <row r="106" spans="1:6" x14ac:dyDescent="0.25">
      <c r="A106" s="1" t="s">
        <v>44</v>
      </c>
      <c r="B106" s="1" t="s">
        <v>251</v>
      </c>
      <c r="C106" s="1" t="s">
        <v>256</v>
      </c>
      <c r="D106" s="1">
        <v>2344</v>
      </c>
      <c r="E106" s="1">
        <v>52</v>
      </c>
      <c r="F106" s="32" t="b">
        <v>1</v>
      </c>
    </row>
    <row r="107" spans="1:6" x14ac:dyDescent="0.25">
      <c r="A107" s="1" t="s">
        <v>106</v>
      </c>
      <c r="B107" s="1" t="s">
        <v>215</v>
      </c>
      <c r="C107" s="1" t="s">
        <v>218</v>
      </c>
      <c r="D107" s="1">
        <v>2344</v>
      </c>
      <c r="E107" s="1">
        <v>61</v>
      </c>
      <c r="F107" s="32" t="b">
        <v>1</v>
      </c>
    </row>
    <row r="108" spans="1:6" x14ac:dyDescent="0.25">
      <c r="A108" s="1" t="s">
        <v>110</v>
      </c>
      <c r="B108" s="1" t="s">
        <v>215</v>
      </c>
      <c r="C108" s="1" t="s">
        <v>218</v>
      </c>
      <c r="D108" s="1">
        <v>2360</v>
      </c>
      <c r="E108" s="1">
        <v>149</v>
      </c>
      <c r="F108" s="32" t="b">
        <v>1</v>
      </c>
    </row>
    <row r="109" spans="1:6" x14ac:dyDescent="0.25">
      <c r="A109" s="1" t="s">
        <v>135</v>
      </c>
      <c r="B109" s="1" t="s">
        <v>209</v>
      </c>
      <c r="C109" s="1" t="s">
        <v>243</v>
      </c>
      <c r="D109" s="1">
        <v>2445</v>
      </c>
      <c r="E109" s="1">
        <v>641</v>
      </c>
      <c r="F109" s="32" t="b">
        <v>1</v>
      </c>
    </row>
    <row r="110" spans="1:6" x14ac:dyDescent="0.25">
      <c r="A110" s="1" t="s">
        <v>31</v>
      </c>
      <c r="B110" s="1" t="s">
        <v>215</v>
      </c>
      <c r="C110" s="1" t="s">
        <v>218</v>
      </c>
      <c r="D110" s="1">
        <v>2485</v>
      </c>
      <c r="E110" s="1">
        <v>374</v>
      </c>
      <c r="F110" s="32" t="b">
        <v>1</v>
      </c>
    </row>
    <row r="111" spans="1:6" x14ac:dyDescent="0.25">
      <c r="A111" s="1" t="s">
        <v>104</v>
      </c>
      <c r="B111" s="1" t="s">
        <v>249</v>
      </c>
      <c r="C111" s="1" t="s">
        <v>250</v>
      </c>
      <c r="D111" s="1">
        <v>2523</v>
      </c>
      <c r="E111" s="1">
        <v>47</v>
      </c>
      <c r="F111" s="32" t="b">
        <v>1</v>
      </c>
    </row>
    <row r="112" spans="1:6" x14ac:dyDescent="0.25">
      <c r="A112" s="1" t="s">
        <v>17</v>
      </c>
      <c r="B112" s="1" t="s">
        <v>215</v>
      </c>
      <c r="C112" s="1" t="s">
        <v>257</v>
      </c>
      <c r="D112" s="1">
        <v>2768</v>
      </c>
      <c r="E112" s="1">
        <v>28</v>
      </c>
      <c r="F112" s="32" t="b">
        <v>1</v>
      </c>
    </row>
    <row r="113" spans="1:6" x14ac:dyDescent="0.25">
      <c r="A113" s="1" t="s">
        <v>182</v>
      </c>
      <c r="B113" s="1" t="s">
        <v>215</v>
      </c>
      <c r="C113" s="1" t="s">
        <v>218</v>
      </c>
      <c r="D113" s="1">
        <v>2768</v>
      </c>
      <c r="E113" s="1">
        <v>319</v>
      </c>
      <c r="F113" s="32" t="b">
        <v>1</v>
      </c>
    </row>
    <row r="114" spans="1:6" x14ac:dyDescent="0.25">
      <c r="A114" s="1" t="s">
        <v>112</v>
      </c>
      <c r="B114" s="1" t="s">
        <v>209</v>
      </c>
      <c r="C114" s="1" t="s">
        <v>258</v>
      </c>
      <c r="D114" s="1">
        <v>2791</v>
      </c>
      <c r="E114" s="1">
        <v>54</v>
      </c>
      <c r="F114" s="32" t="b">
        <v>1</v>
      </c>
    </row>
    <row r="115" spans="1:6" x14ac:dyDescent="0.25">
      <c r="A115" s="1" t="s">
        <v>117</v>
      </c>
      <c r="B115" s="1" t="s">
        <v>226</v>
      </c>
      <c r="C115" s="1" t="s">
        <v>227</v>
      </c>
      <c r="D115" s="1">
        <v>2791</v>
      </c>
      <c r="E115" s="1">
        <v>409</v>
      </c>
      <c r="F115" s="32" t="b">
        <v>1</v>
      </c>
    </row>
    <row r="116" spans="1:6" x14ac:dyDescent="0.25">
      <c r="A116" s="1" t="s">
        <v>177</v>
      </c>
      <c r="B116" s="1" t="s">
        <v>215</v>
      </c>
      <c r="C116" s="1" t="s">
        <v>218</v>
      </c>
      <c r="D116" s="1">
        <v>2791</v>
      </c>
      <c r="E116" s="1">
        <v>1176</v>
      </c>
      <c r="F116" s="32" t="b">
        <v>1</v>
      </c>
    </row>
    <row r="117" spans="1:6" x14ac:dyDescent="0.25">
      <c r="A117" s="1" t="s">
        <v>175</v>
      </c>
      <c r="B117" s="1" t="s">
        <v>215</v>
      </c>
      <c r="C117" s="1" t="s">
        <v>228</v>
      </c>
      <c r="D117" s="1">
        <v>3140</v>
      </c>
      <c r="E117" s="1">
        <v>967</v>
      </c>
      <c r="F117" s="32" t="b">
        <v>1</v>
      </c>
    </row>
    <row r="118" spans="1:6" x14ac:dyDescent="0.25">
      <c r="A118" s="1" t="s">
        <v>114</v>
      </c>
      <c r="B118" s="1" t="s">
        <v>241</v>
      </c>
      <c r="C118" s="1" t="s">
        <v>242</v>
      </c>
      <c r="D118" s="1">
        <v>3162</v>
      </c>
      <c r="E118" s="1">
        <v>290</v>
      </c>
      <c r="F118" s="32" t="b">
        <v>1</v>
      </c>
    </row>
    <row r="119" spans="1:6" x14ac:dyDescent="0.25">
      <c r="A119" s="1" t="s">
        <v>35</v>
      </c>
      <c r="B119" s="1" t="s">
        <v>215</v>
      </c>
      <c r="C119" s="1" t="s">
        <v>259</v>
      </c>
      <c r="D119" s="1">
        <v>3341</v>
      </c>
      <c r="E119" s="1">
        <v>199</v>
      </c>
      <c r="F119" s="32" t="b">
        <v>1</v>
      </c>
    </row>
    <row r="120" spans="1:6" x14ac:dyDescent="0.25">
      <c r="A120" s="1" t="s">
        <v>51</v>
      </c>
      <c r="B120" s="1" t="s">
        <v>215</v>
      </c>
      <c r="C120" s="1" t="s">
        <v>216</v>
      </c>
      <c r="D120" s="1">
        <v>3341</v>
      </c>
      <c r="E120" s="1">
        <v>109</v>
      </c>
      <c r="F120" s="32" t="b">
        <v>1</v>
      </c>
    </row>
    <row r="121" spans="1:6" x14ac:dyDescent="0.25">
      <c r="A121" s="1" t="s">
        <v>57</v>
      </c>
      <c r="B121" s="1" t="s">
        <v>209</v>
      </c>
      <c r="C121" s="1" t="s">
        <v>260</v>
      </c>
      <c r="D121" s="1">
        <v>3341</v>
      </c>
      <c r="E121" s="1">
        <v>966</v>
      </c>
      <c r="F121" s="32" t="b">
        <v>1</v>
      </c>
    </row>
    <row r="122" spans="1:6" x14ac:dyDescent="0.25">
      <c r="A122" s="1" t="s">
        <v>101</v>
      </c>
      <c r="B122" s="1" t="s">
        <v>226</v>
      </c>
      <c r="C122" s="1" t="s">
        <v>227</v>
      </c>
      <c r="D122" s="1">
        <v>3341</v>
      </c>
      <c r="E122" s="1">
        <v>231</v>
      </c>
      <c r="F122" s="32" t="b">
        <v>1</v>
      </c>
    </row>
    <row r="123" spans="1:6" x14ac:dyDescent="0.25">
      <c r="A123" s="1" t="s">
        <v>116</v>
      </c>
      <c r="B123" s="1" t="s">
        <v>215</v>
      </c>
      <c r="C123" s="1" t="s">
        <v>218</v>
      </c>
      <c r="D123" s="1">
        <v>3341</v>
      </c>
      <c r="E123" s="1">
        <v>341</v>
      </c>
      <c r="F123" s="32" t="b">
        <v>1</v>
      </c>
    </row>
    <row r="124" spans="1:6" x14ac:dyDescent="0.25">
      <c r="A124" s="1" t="s">
        <v>103</v>
      </c>
      <c r="B124" s="1" t="s">
        <v>215</v>
      </c>
      <c r="C124" s="1" t="s">
        <v>218</v>
      </c>
      <c r="D124" s="1">
        <v>3489</v>
      </c>
      <c r="E124" s="1">
        <v>823</v>
      </c>
      <c r="F124" s="32" t="b">
        <v>1</v>
      </c>
    </row>
    <row r="125" spans="1:6" x14ac:dyDescent="0.25">
      <c r="A125" s="1" t="s">
        <v>127</v>
      </c>
      <c r="B125" s="1" t="s">
        <v>215</v>
      </c>
      <c r="C125" s="1" t="s">
        <v>218</v>
      </c>
      <c r="D125" s="1">
        <v>3489</v>
      </c>
      <c r="E125" s="1">
        <v>180</v>
      </c>
      <c r="F125" s="32" t="b">
        <v>1</v>
      </c>
    </row>
    <row r="126" spans="1:6" x14ac:dyDescent="0.25">
      <c r="A126" s="1" t="s">
        <v>29</v>
      </c>
      <c r="B126" s="1" t="s">
        <v>206</v>
      </c>
      <c r="C126" s="1" t="s">
        <v>261</v>
      </c>
      <c r="D126" s="1">
        <v>3972</v>
      </c>
      <c r="E126" s="1">
        <v>985</v>
      </c>
      <c r="F126" s="32" t="b">
        <v>1</v>
      </c>
    </row>
    <row r="127" spans="1:6" x14ac:dyDescent="0.25">
      <c r="A127" s="1" t="s">
        <v>136</v>
      </c>
      <c r="B127" s="1" t="s">
        <v>215</v>
      </c>
      <c r="C127" s="1" t="s">
        <v>218</v>
      </c>
      <c r="D127" s="1">
        <v>4400</v>
      </c>
      <c r="E127" s="1">
        <v>2749</v>
      </c>
      <c r="F127" s="32" t="b">
        <v>1</v>
      </c>
    </row>
    <row r="128" spans="1:6" x14ac:dyDescent="0.25">
      <c r="A128" s="1" t="s">
        <v>154</v>
      </c>
      <c r="B128" s="1" t="s">
        <v>215</v>
      </c>
      <c r="C128" s="1" t="s">
        <v>218</v>
      </c>
      <c r="D128" s="1">
        <v>4400</v>
      </c>
      <c r="E128" s="1">
        <v>1558</v>
      </c>
      <c r="F128" s="32" t="b">
        <v>1</v>
      </c>
    </row>
    <row r="129" spans="1:6" x14ac:dyDescent="0.25">
      <c r="A129" s="1" t="s">
        <v>46</v>
      </c>
      <c r="B129" s="1" t="s">
        <v>215</v>
      </c>
      <c r="C129" s="1" t="s">
        <v>218</v>
      </c>
      <c r="D129" s="1">
        <v>4636</v>
      </c>
      <c r="E129" s="1">
        <v>211</v>
      </c>
      <c r="F129" s="32" t="b">
        <v>1</v>
      </c>
    </row>
    <row r="130" spans="1:6" x14ac:dyDescent="0.25">
      <c r="A130" s="1" t="s">
        <v>53</v>
      </c>
      <c r="B130" s="1" t="s">
        <v>215</v>
      </c>
      <c r="C130" s="1" t="s">
        <v>218</v>
      </c>
      <c r="D130" s="1">
        <v>4636</v>
      </c>
      <c r="E130" s="1">
        <v>766</v>
      </c>
      <c r="F130" s="32" t="b">
        <v>1</v>
      </c>
    </row>
    <row r="131" spans="1:6" x14ac:dyDescent="0.25">
      <c r="A131" s="1" t="s">
        <v>125</v>
      </c>
      <c r="B131" s="1" t="s">
        <v>215</v>
      </c>
      <c r="C131" s="1" t="s">
        <v>218</v>
      </c>
      <c r="D131" s="1">
        <v>4636</v>
      </c>
      <c r="E131" s="1">
        <v>2277</v>
      </c>
      <c r="F131" s="32" t="b">
        <v>1</v>
      </c>
    </row>
    <row r="132" spans="1:6" x14ac:dyDescent="0.25">
      <c r="A132" s="1" t="s">
        <v>152</v>
      </c>
      <c r="B132" s="1" t="s">
        <v>215</v>
      </c>
      <c r="C132" s="1" t="s">
        <v>218</v>
      </c>
      <c r="D132" s="1">
        <v>4636</v>
      </c>
      <c r="E132" s="1">
        <v>908</v>
      </c>
      <c r="F132" s="32" t="b">
        <v>1</v>
      </c>
    </row>
    <row r="133" spans="1:6" x14ac:dyDescent="0.25">
      <c r="A133" s="1" t="s">
        <v>28</v>
      </c>
      <c r="B133" s="1" t="s">
        <v>238</v>
      </c>
      <c r="C133" s="1" t="s">
        <v>239</v>
      </c>
      <c r="D133" s="1">
        <v>4713</v>
      </c>
      <c r="E133" s="1">
        <v>246</v>
      </c>
      <c r="F133" s="32" t="b">
        <v>1</v>
      </c>
    </row>
    <row r="134" spans="1:6" x14ac:dyDescent="0.25">
      <c r="A134" s="1" t="s">
        <v>41</v>
      </c>
      <c r="B134" s="1" t="s">
        <v>215</v>
      </c>
      <c r="C134" s="1" t="s">
        <v>259</v>
      </c>
      <c r="D134" s="1">
        <v>4713</v>
      </c>
      <c r="E134" s="1">
        <v>83</v>
      </c>
      <c r="F134" s="32" t="b">
        <v>1</v>
      </c>
    </row>
    <row r="135" spans="1:6" x14ac:dyDescent="0.25">
      <c r="A135" s="1" t="s">
        <v>18</v>
      </c>
      <c r="B135" s="1" t="s">
        <v>215</v>
      </c>
      <c r="C135" s="1" t="s">
        <v>228</v>
      </c>
      <c r="D135" s="1">
        <v>4953</v>
      </c>
      <c r="E135" s="1">
        <v>924</v>
      </c>
      <c r="F135" s="32" t="b">
        <v>1</v>
      </c>
    </row>
    <row r="136" spans="1:6" x14ac:dyDescent="0.25">
      <c r="A136" s="1" t="s">
        <v>95</v>
      </c>
      <c r="B136" s="1" t="s">
        <v>215</v>
      </c>
      <c r="C136" s="1" t="s">
        <v>228</v>
      </c>
      <c r="D136" s="1">
        <v>5057</v>
      </c>
      <c r="E136" s="1">
        <v>68</v>
      </c>
      <c r="F136" s="32" t="b">
        <v>1</v>
      </c>
    </row>
    <row r="137" spans="1:6" x14ac:dyDescent="0.25">
      <c r="A137" s="1" t="s">
        <v>94</v>
      </c>
      <c r="B137" s="1" t="s">
        <v>215</v>
      </c>
      <c r="C137" s="1" t="s">
        <v>218</v>
      </c>
      <c r="D137" s="1">
        <v>5120</v>
      </c>
      <c r="E137" s="1">
        <v>124</v>
      </c>
      <c r="F137" s="32" t="b">
        <v>1</v>
      </c>
    </row>
    <row r="138" spans="1:6" x14ac:dyDescent="0.25">
      <c r="A138" s="1" t="s">
        <v>158</v>
      </c>
      <c r="B138" s="1" t="s">
        <v>215</v>
      </c>
      <c r="C138" s="1" t="s">
        <v>246</v>
      </c>
      <c r="D138" s="1">
        <v>5120</v>
      </c>
      <c r="E138" s="1">
        <v>1965</v>
      </c>
      <c r="F138" s="32" t="b">
        <v>1</v>
      </c>
    </row>
    <row r="139" spans="1:6" x14ac:dyDescent="0.25">
      <c r="A139" s="1" t="s">
        <v>49</v>
      </c>
      <c r="B139" s="1" t="s">
        <v>215</v>
      </c>
      <c r="C139" s="1" t="s">
        <v>218</v>
      </c>
      <c r="D139" s="1">
        <v>5258</v>
      </c>
      <c r="E139" s="1">
        <v>432</v>
      </c>
      <c r="F139" s="32" t="b">
        <v>1</v>
      </c>
    </row>
    <row r="140" spans="1:6" x14ac:dyDescent="0.25">
      <c r="A140" s="1" t="s">
        <v>88</v>
      </c>
      <c r="B140" s="1" t="s">
        <v>215</v>
      </c>
      <c r="C140" s="1" t="s">
        <v>218</v>
      </c>
      <c r="D140" s="1">
        <v>5258</v>
      </c>
      <c r="E140" s="1">
        <v>121</v>
      </c>
      <c r="F140" s="32" t="b">
        <v>1</v>
      </c>
    </row>
    <row r="141" spans="1:6" x14ac:dyDescent="0.25">
      <c r="A141" s="1" t="s">
        <v>176</v>
      </c>
      <c r="B141" s="1" t="s">
        <v>215</v>
      </c>
      <c r="C141" s="1" t="s">
        <v>218</v>
      </c>
      <c r="D141" s="1">
        <v>5258</v>
      </c>
      <c r="E141" s="1">
        <v>79</v>
      </c>
      <c r="F141" s="32" t="b">
        <v>1</v>
      </c>
    </row>
    <row r="142" spans="1:6" x14ac:dyDescent="0.25">
      <c r="A142" s="1" t="s">
        <v>109</v>
      </c>
      <c r="B142" s="1" t="s">
        <v>262</v>
      </c>
      <c r="C142" s="1" t="s">
        <v>263</v>
      </c>
      <c r="D142" s="1">
        <v>5720</v>
      </c>
      <c r="E142" s="1">
        <v>1172</v>
      </c>
      <c r="F142" s="32" t="b">
        <v>1</v>
      </c>
    </row>
    <row r="143" spans="1:6" x14ac:dyDescent="0.25">
      <c r="A143" s="1" t="s">
        <v>33</v>
      </c>
      <c r="B143" s="1" t="s">
        <v>209</v>
      </c>
      <c r="C143" s="1" t="s">
        <v>260</v>
      </c>
      <c r="D143" s="1">
        <v>6468</v>
      </c>
      <c r="E143" s="1">
        <v>1598</v>
      </c>
      <c r="F143" s="32" t="b">
        <v>1</v>
      </c>
    </row>
    <row r="144" spans="1:6" x14ac:dyDescent="0.25">
      <c r="A144" s="1" t="s">
        <v>102</v>
      </c>
      <c r="B144" s="1" t="s">
        <v>215</v>
      </c>
      <c r="C144" s="1" t="s">
        <v>218</v>
      </c>
      <c r="D144" s="1">
        <v>6468</v>
      </c>
      <c r="E144" s="1">
        <v>390</v>
      </c>
      <c r="F144" s="32" t="b">
        <v>1</v>
      </c>
    </row>
    <row r="145" spans="1:6" x14ac:dyDescent="0.25">
      <c r="A145" s="1" t="s">
        <v>126</v>
      </c>
      <c r="B145" s="1" t="s">
        <v>215</v>
      </c>
      <c r="C145" s="1" t="s">
        <v>218</v>
      </c>
      <c r="D145" s="1">
        <v>6468</v>
      </c>
      <c r="E145" s="1">
        <v>77</v>
      </c>
      <c r="F145" s="32" t="b">
        <v>1</v>
      </c>
    </row>
    <row r="146" spans="1:6" x14ac:dyDescent="0.25">
      <c r="A146" s="1" t="s">
        <v>165</v>
      </c>
      <c r="B146" s="1" t="s">
        <v>251</v>
      </c>
      <c r="C146" s="1" t="s">
        <v>252</v>
      </c>
      <c r="D146" s="1">
        <v>6468</v>
      </c>
      <c r="E146" s="1">
        <v>161</v>
      </c>
      <c r="F146" s="32" t="b">
        <v>1</v>
      </c>
    </row>
    <row r="147" spans="1:6" x14ac:dyDescent="0.25">
      <c r="A147" s="1" t="s">
        <v>3</v>
      </c>
      <c r="B147" s="1" t="s">
        <v>204</v>
      </c>
      <c r="C147" s="1" t="s">
        <v>232</v>
      </c>
      <c r="D147" s="1">
        <v>6492</v>
      </c>
      <c r="E147" s="1">
        <v>802</v>
      </c>
      <c r="F147" s="32" t="b">
        <v>1</v>
      </c>
    </row>
    <row r="148" spans="1:6" x14ac:dyDescent="0.25">
      <c r="A148" s="1" t="s">
        <v>37</v>
      </c>
      <c r="B148" s="1" t="s">
        <v>209</v>
      </c>
      <c r="C148" s="1" t="s">
        <v>237</v>
      </c>
      <c r="D148" s="1">
        <v>6492</v>
      </c>
      <c r="E148" s="1">
        <v>1040</v>
      </c>
      <c r="F148" s="32" t="b">
        <v>1</v>
      </c>
    </row>
    <row r="149" spans="1:6" x14ac:dyDescent="0.25">
      <c r="A149" s="1" t="s">
        <v>129</v>
      </c>
      <c r="B149" s="1" t="s">
        <v>204</v>
      </c>
      <c r="C149" s="1" t="s">
        <v>232</v>
      </c>
      <c r="D149" s="1">
        <v>6492</v>
      </c>
      <c r="E149" s="1">
        <v>518</v>
      </c>
      <c r="F149" s="32" t="b">
        <v>1</v>
      </c>
    </row>
    <row r="150" spans="1:6" x14ac:dyDescent="0.25">
      <c r="A150" s="1" t="s">
        <v>143</v>
      </c>
      <c r="B150" s="1" t="s">
        <v>226</v>
      </c>
      <c r="C150" s="1" t="s">
        <v>247</v>
      </c>
      <c r="D150" s="1">
        <v>6492</v>
      </c>
      <c r="E150" s="1">
        <v>1503</v>
      </c>
      <c r="F150" s="32" t="b">
        <v>1</v>
      </c>
    </row>
    <row r="151" spans="1:6" x14ac:dyDescent="0.25">
      <c r="A151" s="1" t="s">
        <v>145</v>
      </c>
      <c r="B151" s="1" t="s">
        <v>215</v>
      </c>
      <c r="C151" s="1" t="s">
        <v>228</v>
      </c>
      <c r="D151" s="1">
        <v>6492</v>
      </c>
      <c r="E151" s="1">
        <v>221</v>
      </c>
      <c r="F151" s="32" t="b">
        <v>1</v>
      </c>
    </row>
    <row r="152" spans="1:6" x14ac:dyDescent="0.25">
      <c r="A152" s="1" t="s">
        <v>167</v>
      </c>
      <c r="B152" s="1" t="s">
        <v>204</v>
      </c>
      <c r="C152" s="1" t="s">
        <v>211</v>
      </c>
      <c r="D152" s="1">
        <v>6492</v>
      </c>
      <c r="E152" s="1">
        <v>480</v>
      </c>
      <c r="F152" s="32" t="b">
        <v>1</v>
      </c>
    </row>
    <row r="153" spans="1:6" x14ac:dyDescent="0.25">
      <c r="A153" s="1" t="s">
        <v>173</v>
      </c>
      <c r="B153" s="1" t="s">
        <v>215</v>
      </c>
      <c r="C153" s="1" t="s">
        <v>218</v>
      </c>
      <c r="D153" s="1">
        <v>6492</v>
      </c>
      <c r="E153" s="1">
        <v>2326</v>
      </c>
      <c r="F153" s="32" t="b">
        <v>1</v>
      </c>
    </row>
    <row r="154" spans="1:6" x14ac:dyDescent="0.25">
      <c r="A154" s="1" t="s">
        <v>54</v>
      </c>
      <c r="B154" s="1" t="s">
        <v>215</v>
      </c>
      <c r="C154" s="1" t="s">
        <v>228</v>
      </c>
      <c r="D154" s="1">
        <v>7010</v>
      </c>
      <c r="E154" s="1">
        <v>529</v>
      </c>
      <c r="F154" s="32" t="b">
        <v>1</v>
      </c>
    </row>
    <row r="155" spans="1:6" x14ac:dyDescent="0.25">
      <c r="A155" s="1" t="s">
        <v>113</v>
      </c>
      <c r="B155" s="1" t="s">
        <v>226</v>
      </c>
      <c r="C155" s="1" t="s">
        <v>227</v>
      </c>
      <c r="D155" s="1">
        <v>7010</v>
      </c>
      <c r="E155" s="1">
        <v>2365</v>
      </c>
      <c r="F155" s="32" t="b">
        <v>1</v>
      </c>
    </row>
    <row r="156" spans="1:6" x14ac:dyDescent="0.25">
      <c r="A156" s="1" t="s">
        <v>162</v>
      </c>
      <c r="B156" s="1" t="s">
        <v>226</v>
      </c>
      <c r="C156" s="1" t="s">
        <v>227</v>
      </c>
      <c r="D156" s="1">
        <v>7010</v>
      </c>
      <c r="E156" s="1">
        <v>2224</v>
      </c>
      <c r="F156" s="32" t="b">
        <v>1</v>
      </c>
    </row>
    <row r="157" spans="1:6" x14ac:dyDescent="0.25">
      <c r="A157" s="1" t="s">
        <v>25</v>
      </c>
      <c r="B157" s="1" t="s">
        <v>251</v>
      </c>
      <c r="C157" s="1" t="s">
        <v>264</v>
      </c>
      <c r="D157" s="1">
        <v>7340</v>
      </c>
      <c r="E157" s="1">
        <v>272</v>
      </c>
      <c r="F157" s="32" t="b">
        <v>1</v>
      </c>
    </row>
    <row r="158" spans="1:6" x14ac:dyDescent="0.25">
      <c r="A158" s="1" t="s">
        <v>63</v>
      </c>
      <c r="B158" s="1" t="s">
        <v>226</v>
      </c>
      <c r="C158" s="1" t="s">
        <v>227</v>
      </c>
      <c r="D158" s="1">
        <v>7340</v>
      </c>
      <c r="E158" s="1">
        <v>272</v>
      </c>
      <c r="F158" s="32" t="b">
        <v>1</v>
      </c>
    </row>
    <row r="159" spans="1:6" x14ac:dyDescent="0.25">
      <c r="A159" s="1" t="s">
        <v>79</v>
      </c>
      <c r="B159" s="1" t="s">
        <v>215</v>
      </c>
      <c r="C159" s="1" t="s">
        <v>228</v>
      </c>
      <c r="D159" s="1">
        <v>7340</v>
      </c>
      <c r="E159" s="1">
        <v>1251</v>
      </c>
      <c r="F159" s="32" t="b">
        <v>1</v>
      </c>
    </row>
    <row r="160" spans="1:6" x14ac:dyDescent="0.25">
      <c r="A160" s="1" t="s">
        <v>81</v>
      </c>
      <c r="B160" s="1" t="s">
        <v>209</v>
      </c>
      <c r="C160" s="1" t="s">
        <v>260</v>
      </c>
      <c r="D160" s="1">
        <v>7370</v>
      </c>
      <c r="E160" s="1">
        <v>1628</v>
      </c>
      <c r="F160" s="32" t="b">
        <v>1</v>
      </c>
    </row>
    <row r="161" spans="1:6" x14ac:dyDescent="0.25">
      <c r="A161" s="1" t="s">
        <v>36</v>
      </c>
      <c r="B161" s="1" t="s">
        <v>209</v>
      </c>
      <c r="C161" s="1" t="s">
        <v>260</v>
      </c>
      <c r="D161" s="1">
        <v>9180</v>
      </c>
      <c r="E161" s="1">
        <v>2816</v>
      </c>
      <c r="F161" s="32" t="b">
        <v>1</v>
      </c>
    </row>
    <row r="162" spans="1:6" x14ac:dyDescent="0.25">
      <c r="A162" s="1" t="s">
        <v>171</v>
      </c>
      <c r="B162" s="1" t="s">
        <v>215</v>
      </c>
      <c r="C162" s="1" t="s">
        <v>218</v>
      </c>
      <c r="D162" s="1">
        <v>9180</v>
      </c>
      <c r="E162" s="1">
        <v>1920</v>
      </c>
      <c r="F162" s="32" t="b">
        <v>1</v>
      </c>
    </row>
    <row r="163" spans="1:6" x14ac:dyDescent="0.25">
      <c r="A163" s="1" t="s">
        <v>131</v>
      </c>
      <c r="B163" s="1" t="s">
        <v>265</v>
      </c>
      <c r="C163" s="1" t="s">
        <v>266</v>
      </c>
      <c r="D163" s="1">
        <v>9790</v>
      </c>
      <c r="E163" s="1">
        <v>231</v>
      </c>
      <c r="F163" s="32" t="b">
        <v>1</v>
      </c>
    </row>
    <row r="164" spans="1:6" x14ac:dyDescent="0.25">
      <c r="A164" s="1" t="s">
        <v>168</v>
      </c>
      <c r="B164" s="1" t="s">
        <v>215</v>
      </c>
      <c r="C164" s="1" t="s">
        <v>267</v>
      </c>
      <c r="D164" s="1">
        <v>9790</v>
      </c>
      <c r="E164" s="1">
        <v>83</v>
      </c>
      <c r="F164" s="32" t="b">
        <v>1</v>
      </c>
    </row>
    <row r="165" spans="1:6" x14ac:dyDescent="0.25">
      <c r="A165" s="1" t="s">
        <v>172</v>
      </c>
      <c r="B165" s="1" t="s">
        <v>215</v>
      </c>
      <c r="C165" s="1" t="s">
        <v>218</v>
      </c>
      <c r="D165" s="1">
        <v>9790</v>
      </c>
      <c r="E165" s="1">
        <v>580</v>
      </c>
      <c r="F165" s="32" t="b">
        <v>1</v>
      </c>
    </row>
    <row r="166" spans="1:6" x14ac:dyDescent="0.25">
      <c r="A166" s="1" t="s">
        <v>77</v>
      </c>
      <c r="B166" s="1" t="s">
        <v>215</v>
      </c>
      <c r="C166" s="1" t="s">
        <v>259</v>
      </c>
      <c r="D166" s="1">
        <v>10235</v>
      </c>
      <c r="E166" s="1">
        <v>865</v>
      </c>
      <c r="F166" s="32" t="b">
        <v>1</v>
      </c>
    </row>
    <row r="167" spans="1:6" x14ac:dyDescent="0.25">
      <c r="A167" s="1" t="s">
        <v>71</v>
      </c>
      <c r="B167" s="1" t="s">
        <v>254</v>
      </c>
      <c r="C167" s="1" t="s">
        <v>268</v>
      </c>
      <c r="D167" s="1">
        <v>10350</v>
      </c>
      <c r="E167" s="1">
        <v>317</v>
      </c>
      <c r="F167" s="32" t="b">
        <v>1</v>
      </c>
    </row>
    <row r="168" spans="1:6" x14ac:dyDescent="0.25">
      <c r="A168" s="1" t="s">
        <v>45</v>
      </c>
      <c r="B168" s="1" t="s">
        <v>262</v>
      </c>
      <c r="C168" s="1" t="s">
        <v>263</v>
      </c>
      <c r="D168" s="1">
        <v>11227</v>
      </c>
      <c r="E168" s="1">
        <v>599</v>
      </c>
      <c r="F168" s="32" t="b">
        <v>1</v>
      </c>
    </row>
    <row r="169" spans="1:6" x14ac:dyDescent="0.25">
      <c r="A169" s="1" t="s">
        <v>48</v>
      </c>
      <c r="B169" s="1" t="s">
        <v>215</v>
      </c>
      <c r="C169" s="1" t="s">
        <v>218</v>
      </c>
      <c r="D169" s="1">
        <v>11227</v>
      </c>
      <c r="E169" s="1">
        <v>761</v>
      </c>
      <c r="F169" s="32" t="b">
        <v>1</v>
      </c>
    </row>
    <row r="170" spans="1:6" x14ac:dyDescent="0.25">
      <c r="A170" s="1" t="s">
        <v>82</v>
      </c>
      <c r="B170" s="1" t="s">
        <v>209</v>
      </c>
      <c r="C170" s="1" t="s">
        <v>258</v>
      </c>
      <c r="D170" s="1">
        <v>11227</v>
      </c>
      <c r="E170" s="1">
        <v>615</v>
      </c>
      <c r="F170" s="32" t="b">
        <v>1</v>
      </c>
    </row>
    <row r="171" spans="1:6" x14ac:dyDescent="0.25">
      <c r="A171" s="1" t="s">
        <v>138</v>
      </c>
      <c r="B171" s="1" t="s">
        <v>215</v>
      </c>
      <c r="C171" s="1" t="s">
        <v>218</v>
      </c>
      <c r="D171" s="1">
        <v>11227</v>
      </c>
      <c r="E171" s="1">
        <v>46</v>
      </c>
      <c r="F171" s="32" t="b">
        <v>1</v>
      </c>
    </row>
    <row r="172" spans="1:6" x14ac:dyDescent="0.25">
      <c r="A172" s="1" t="s">
        <v>157</v>
      </c>
      <c r="B172" s="1" t="s">
        <v>262</v>
      </c>
      <c r="C172" s="1" t="s">
        <v>269</v>
      </c>
      <c r="D172" s="1">
        <v>11227</v>
      </c>
      <c r="E172" s="1">
        <v>365</v>
      </c>
      <c r="F172" s="32" t="b">
        <v>1</v>
      </c>
    </row>
    <row r="173" spans="1:6" x14ac:dyDescent="0.25">
      <c r="A173" s="1" t="s">
        <v>55</v>
      </c>
      <c r="B173" s="1" t="s">
        <v>215</v>
      </c>
      <c r="C173" s="1" t="s">
        <v>218</v>
      </c>
      <c r="D173" s="1">
        <v>11310</v>
      </c>
      <c r="E173" s="1">
        <v>377</v>
      </c>
      <c r="F173" s="32" t="b">
        <v>1</v>
      </c>
    </row>
    <row r="174" spans="1:6" x14ac:dyDescent="0.25">
      <c r="A174" s="1" t="s">
        <v>0</v>
      </c>
      <c r="B174" s="1" t="s">
        <v>215</v>
      </c>
      <c r="C174" s="1" t="s">
        <v>218</v>
      </c>
      <c r="D174" s="1">
        <v>11646</v>
      </c>
      <c r="E174" s="1">
        <v>253</v>
      </c>
      <c r="F174" s="32" t="b">
        <v>1</v>
      </c>
    </row>
    <row r="175" spans="1:6" x14ac:dyDescent="0.25">
      <c r="A175" s="1" t="s">
        <v>20</v>
      </c>
      <c r="B175" s="1" t="s">
        <v>215</v>
      </c>
      <c r="C175" s="1" t="s">
        <v>270</v>
      </c>
      <c r="D175" s="1">
        <v>11646</v>
      </c>
      <c r="E175" s="1">
        <v>278</v>
      </c>
      <c r="F175" s="32" t="b">
        <v>1</v>
      </c>
    </row>
    <row r="176" spans="1:6" x14ac:dyDescent="0.25">
      <c r="A176" s="1" t="s">
        <v>38</v>
      </c>
      <c r="B176" s="1" t="s">
        <v>215</v>
      </c>
      <c r="C176" s="1" t="s">
        <v>267</v>
      </c>
      <c r="D176" s="1">
        <v>11646</v>
      </c>
      <c r="E176" s="1">
        <v>92</v>
      </c>
      <c r="F176" s="32" t="b">
        <v>1</v>
      </c>
    </row>
    <row r="177" spans="1:6" x14ac:dyDescent="0.25">
      <c r="A177" s="1" t="s">
        <v>40</v>
      </c>
      <c r="B177" s="1" t="s">
        <v>215</v>
      </c>
      <c r="C177" s="1" t="s">
        <v>218</v>
      </c>
      <c r="D177" s="1">
        <v>11646</v>
      </c>
      <c r="E177" s="1">
        <v>178</v>
      </c>
      <c r="F177" s="32" t="b">
        <v>1</v>
      </c>
    </row>
    <row r="178" spans="1:6" x14ac:dyDescent="0.25">
      <c r="A178" s="1" t="s">
        <v>76</v>
      </c>
      <c r="B178" s="1" t="s">
        <v>226</v>
      </c>
      <c r="C178" s="1" t="s">
        <v>271</v>
      </c>
      <c r="D178" s="1">
        <v>11646</v>
      </c>
      <c r="E178" s="1">
        <v>553</v>
      </c>
      <c r="F178" s="32" t="b">
        <v>1</v>
      </c>
    </row>
    <row r="179" spans="1:6" ht="15.75" thickBot="1" x14ac:dyDescent="0.3">
      <c r="A179" s="29" t="s">
        <v>144</v>
      </c>
      <c r="B179" s="29" t="s">
        <v>215</v>
      </c>
      <c r="C179" s="29" t="s">
        <v>218</v>
      </c>
      <c r="D179" s="29">
        <v>11646</v>
      </c>
      <c r="E179" s="29">
        <v>74</v>
      </c>
      <c r="F179" s="32" t="b">
        <v>1</v>
      </c>
    </row>
    <row r="180" spans="1:6" ht="15.75" thickTop="1" x14ac:dyDescent="0.25">
      <c r="A180" s="5"/>
      <c r="B180" s="5"/>
      <c r="C180" s="5"/>
      <c r="D180" s="5"/>
      <c r="E180" s="5"/>
      <c r="F180" s="5"/>
    </row>
    <row r="181" spans="1:6" x14ac:dyDescent="0.25">
      <c r="A181" s="5"/>
      <c r="B181" s="5"/>
      <c r="C181" s="5"/>
      <c r="D181" s="5"/>
      <c r="E181" s="5"/>
      <c r="F181" s="5"/>
    </row>
    <row r="182" spans="1:6" x14ac:dyDescent="0.25">
      <c r="A182" s="5"/>
      <c r="B182" s="5"/>
      <c r="C182" s="5"/>
      <c r="D182" s="5"/>
      <c r="E182" s="5"/>
      <c r="F182" s="5"/>
    </row>
  </sheetData>
  <autoFilter ref="A3:F182"/>
  <conditionalFormatting sqref="F4:F179">
    <cfRule type="expression" dxfId="2" priority="12" stopIfTrue="1">
      <formula>F4=TRUE</formula>
    </cfRule>
  </conditionalFormatting>
  <conditionalFormatting sqref="F4:F179">
    <cfRule type="cellIs" dxfId="1" priority="5" operator="equal">
      <formula>TRUE</formula>
    </cfRule>
  </conditionalFormatting>
  <conditionalFormatting sqref="F4:F179">
    <cfRule type="cellIs" dxfId="0" priority="4" operator="equal">
      <formula>TRUE</formula>
    </cfRule>
  </conditionalFormatting>
  <dataValidations count="1">
    <dataValidation type="list" allowBlank="1" showInputMessage="1" showErrorMessage="1" error="Only values of &quot;TRUE&quot; or &quot;FALSE&quot; are accepted." prompt="Only taxa with a value of &quot;TRUE&quot; will be included in the calculation." sqref="F4:F179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_CalcSSD">
              <controlPr defaultSize="0" print="0" autoFill="0" autoPict="0" macro="[0]!calcSSD_Click">
                <anchor moveWithCells="1" sizeWithCells="1">
                  <from>
                    <xdr:col>7</xdr:col>
                    <xdr:colOff>57150</xdr:colOff>
                    <xdr:row>1</xdr:row>
                    <xdr:rowOff>28575</xdr:rowOff>
                  </from>
                  <to>
                    <xdr:col>8</xdr:col>
                    <xdr:colOff>533400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SSD">
    <tabColor rgb="FFFFC000"/>
  </sheetPr>
  <dimension ref="A1:M2005"/>
  <sheetViews>
    <sheetView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20.7109375" style="33" bestFit="1" customWidth="1"/>
    <col min="2" max="2" width="8.5703125" style="33" bestFit="1" customWidth="1"/>
    <col min="3" max="3" width="8.5703125" style="33" customWidth="1"/>
    <col min="4" max="4" width="21.7109375" style="33" bestFit="1" customWidth="1"/>
    <col min="5" max="5" width="9.140625" style="34"/>
    <col min="6" max="7" width="9.140625" style="34" customWidth="1"/>
    <col min="8" max="8" width="21" style="34" customWidth="1"/>
    <col min="9" max="9" width="37.42578125" style="34" customWidth="1"/>
    <col min="10" max="16" width="13.7109375" style="34" customWidth="1"/>
    <col min="17" max="16384" width="9.140625" style="34"/>
  </cols>
  <sheetData>
    <row r="1" spans="1:12" ht="15.75" thickBot="1" x14ac:dyDescent="0.3"/>
    <row r="2" spans="1:12" ht="27" thickBot="1" x14ac:dyDescent="0.45">
      <c r="J2" s="42" t="str">
        <f>H5&amp;" = "</f>
        <v xml:space="preserve">HC05 = </v>
      </c>
      <c r="K2" s="43">
        <f>ROUND(I5,2)</f>
        <v>244.7</v>
      </c>
    </row>
    <row r="3" spans="1:12" x14ac:dyDescent="0.25">
      <c r="F3" s="75" t="s">
        <v>289</v>
      </c>
      <c r="G3" s="76"/>
      <c r="H3" s="76"/>
      <c r="I3" s="77"/>
    </row>
    <row r="4" spans="1:12" x14ac:dyDescent="0.25">
      <c r="F4" s="44"/>
      <c r="G4" s="45"/>
      <c r="H4" s="41" t="s">
        <v>291</v>
      </c>
      <c r="I4" s="46">
        <f>SUM(C:C)</f>
        <v>78492</v>
      </c>
    </row>
    <row r="5" spans="1:12" x14ac:dyDescent="0.25">
      <c r="A5" s="39" t="s">
        <v>7</v>
      </c>
      <c r="B5" s="39" t="s">
        <v>4</v>
      </c>
      <c r="C5" s="39" t="s">
        <v>203</v>
      </c>
      <c r="D5" s="39" t="s">
        <v>274</v>
      </c>
      <c r="F5" s="47"/>
      <c r="G5" s="48" t="s">
        <v>278</v>
      </c>
      <c r="H5" s="69" t="s">
        <v>290</v>
      </c>
      <c r="I5" s="49">
        <f>IFERROR(ROUND(I13+(I14-I13)*I15,2), "Not Available")</f>
        <v>244.7</v>
      </c>
    </row>
    <row r="6" spans="1:12" x14ac:dyDescent="0.25">
      <c r="A6" s="35" t="s">
        <v>150</v>
      </c>
      <c r="B6" s="35">
        <v>108</v>
      </c>
      <c r="C6" s="37">
        <v>63</v>
      </c>
      <c r="D6" s="35">
        <f>COUNT($B$6:$B6)/(COUNT(B$6:B$1000)+1)</f>
        <v>5.6497175141242938E-3</v>
      </c>
      <c r="F6" s="50" t="s">
        <v>281</v>
      </c>
      <c r="G6" s="51">
        <f>G8*INT(G11/G8)</f>
        <v>0</v>
      </c>
      <c r="H6" s="52" t="s">
        <v>5</v>
      </c>
      <c r="I6" s="67" t="str">
        <f>"Cumulative frequency distribution of genera"</f>
        <v>Cumulative frequency distribution of genera</v>
      </c>
    </row>
    <row r="7" spans="1:12" x14ac:dyDescent="0.25">
      <c r="A7" s="35" t="s">
        <v>174</v>
      </c>
      <c r="B7" s="37">
        <v>138</v>
      </c>
      <c r="C7" s="37">
        <v>33</v>
      </c>
      <c r="D7" s="35">
        <f>COUNT($B$6:$B7)/(COUNT(B$6:B$1000)+1)</f>
        <v>1.1299435028248588E-2</v>
      </c>
      <c r="F7" s="53" t="s">
        <v>280</v>
      </c>
      <c r="G7" s="54">
        <f>G8*(INT(G12/G8)+1)</f>
        <v>12000</v>
      </c>
      <c r="H7" s="55" t="s">
        <v>273</v>
      </c>
      <c r="I7" s="68" t="s">
        <v>308</v>
      </c>
    </row>
    <row r="8" spans="1:12" x14ac:dyDescent="0.25">
      <c r="A8" s="35" t="s">
        <v>164</v>
      </c>
      <c r="B8" s="37">
        <v>159</v>
      </c>
      <c r="C8" s="37">
        <v>29</v>
      </c>
      <c r="D8" s="35">
        <f>COUNT($B$6:$B8)/(COUNT(B$6:B$1000)+1)</f>
        <v>1.6949152542372881E-2</v>
      </c>
      <c r="F8" s="56" t="s">
        <v>279</v>
      </c>
      <c r="G8" s="57">
        <f>VLOOKUP(G14,F16:G20,2)*10^INT(G13)</f>
        <v>2000</v>
      </c>
      <c r="H8" s="55" t="s">
        <v>6</v>
      </c>
      <c r="I8" s="68" t="s">
        <v>309</v>
      </c>
    </row>
    <row r="9" spans="1:12" x14ac:dyDescent="0.25">
      <c r="A9" s="35" t="s">
        <v>89</v>
      </c>
      <c r="B9" s="37">
        <v>183</v>
      </c>
      <c r="C9" s="37">
        <v>170</v>
      </c>
      <c r="D9" s="35">
        <f>COUNT($B$6:$B9)/(COUNT(B$6:B$1000)+1)</f>
        <v>2.2598870056497175E-2</v>
      </c>
      <c r="F9" s="50" t="s">
        <v>276</v>
      </c>
      <c r="G9" s="58">
        <f>MIN($B:$B)</f>
        <v>108</v>
      </c>
      <c r="H9" s="55"/>
      <c r="I9" s="40"/>
      <c r="K9" s="34">
        <v>-100</v>
      </c>
      <c r="L9" s="73">
        <f>MAX(B6:B18100)*1.1</f>
        <v>12810.6</v>
      </c>
    </row>
    <row r="10" spans="1:12" x14ac:dyDescent="0.25">
      <c r="A10" s="35" t="s">
        <v>178</v>
      </c>
      <c r="B10" s="37">
        <v>231</v>
      </c>
      <c r="C10" s="37">
        <v>48</v>
      </c>
      <c r="D10" s="35">
        <f>COUNT($B$6:$B10)/(COUNT(B$6:B$1000)+1)</f>
        <v>2.8248587570621469E-2</v>
      </c>
      <c r="F10" s="53" t="s">
        <v>277</v>
      </c>
      <c r="G10" s="59">
        <f>MAX($B:$B)</f>
        <v>11646</v>
      </c>
      <c r="H10" s="55"/>
      <c r="I10" s="40"/>
      <c r="K10" s="34">
        <v>0.05</v>
      </c>
      <c r="L10" s="34">
        <v>0.05</v>
      </c>
    </row>
    <row r="11" spans="1:12" x14ac:dyDescent="0.25">
      <c r="A11" s="35" t="s">
        <v>90</v>
      </c>
      <c r="B11" s="37">
        <v>235</v>
      </c>
      <c r="C11" s="37">
        <v>115</v>
      </c>
      <c r="D11" s="35">
        <f>COUNT($B$6:$B11)/(COUNT(B$6:B$1000)+1)</f>
        <v>3.3898305084745763E-2</v>
      </c>
      <c r="F11" s="53" t="s">
        <v>282</v>
      </c>
      <c r="G11" s="54">
        <f>IF(G9=0,0,IF(G9&gt;0,MAX(0,G9-(G10-G9)/100),G9-(G10-G9)/100))</f>
        <v>0</v>
      </c>
      <c r="H11" s="55" t="s">
        <v>8</v>
      </c>
      <c r="I11" s="60">
        <f>COUNTA(B:B)-COUNTA(B1:B5)</f>
        <v>176</v>
      </c>
    </row>
    <row r="12" spans="1:12" x14ac:dyDescent="0.25">
      <c r="A12" s="36" t="s">
        <v>62</v>
      </c>
      <c r="B12" s="38">
        <v>243</v>
      </c>
      <c r="C12" s="38">
        <v>295</v>
      </c>
      <c r="D12" s="35">
        <f>COUNT($B$6:$B12)/(COUNT(B$6:B$1000)+1)</f>
        <v>3.954802259887006E-2</v>
      </c>
      <c r="F12" s="53" t="s">
        <v>283</v>
      </c>
      <c r="G12" s="54">
        <f>IF(G10=0,IF(G9=0,1,0),IF(G10&lt;0,MIN(0,G10+(G10-G9)/100),G10+(G10-G9)/100))</f>
        <v>11761.38</v>
      </c>
      <c r="H12" s="55" t="s">
        <v>11</v>
      </c>
      <c r="I12" s="40">
        <f>0.05*(I11+1)</f>
        <v>8.85</v>
      </c>
    </row>
    <row r="13" spans="1:12" x14ac:dyDescent="0.25">
      <c r="A13" s="35" t="s">
        <v>170</v>
      </c>
      <c r="B13" s="38">
        <v>243</v>
      </c>
      <c r="C13" s="38">
        <v>121</v>
      </c>
      <c r="D13" s="35">
        <f>COUNT($B$6:$B13)/(COUNT(B$6:B$1000)+1)</f>
        <v>4.519774011299435E-2</v>
      </c>
      <c r="F13" s="53" t="s">
        <v>284</v>
      </c>
      <c r="G13" s="54">
        <f>LOG(G12-G11)/LOG(10)</f>
        <v>4.0704582818781487</v>
      </c>
      <c r="H13" s="55" t="s">
        <v>9</v>
      </c>
      <c r="I13" s="40">
        <f>INDEX(B6:B502, FLOOR(I12,1),1)</f>
        <v>243</v>
      </c>
    </row>
    <row r="14" spans="1:12" x14ac:dyDescent="0.25">
      <c r="A14" s="35" t="s">
        <v>14</v>
      </c>
      <c r="B14" s="38">
        <v>245</v>
      </c>
      <c r="C14" s="38">
        <v>131</v>
      </c>
      <c r="D14" s="35">
        <f>COUNT($B$6:$B14)/(COUNT(B$6:B$1000)+1)</f>
        <v>5.0847457627118647E-2</v>
      </c>
      <c r="F14" s="56" t="s">
        <v>285</v>
      </c>
      <c r="G14" s="57">
        <f>10^(G13-INT(G13))</f>
        <v>1.1761380000000006</v>
      </c>
      <c r="H14" s="55" t="s">
        <v>10</v>
      </c>
      <c r="I14" s="40">
        <f>INDEX(B6:B502, CEILING(I12,1),1)</f>
        <v>245</v>
      </c>
    </row>
    <row r="15" spans="1:12" x14ac:dyDescent="0.25">
      <c r="A15" s="35" t="s">
        <v>39</v>
      </c>
      <c r="B15" s="37">
        <v>281</v>
      </c>
      <c r="C15" s="37">
        <v>224</v>
      </c>
      <c r="D15" s="35">
        <f>COUNT($B$6:$B15)/(COUNT(B$6:B$1000)+1)</f>
        <v>5.6497175141242938E-2</v>
      </c>
      <c r="F15" s="41" t="s">
        <v>286</v>
      </c>
      <c r="G15" s="48" t="s">
        <v>287</v>
      </c>
      <c r="H15" s="61" t="s">
        <v>275</v>
      </c>
      <c r="I15" s="62">
        <f>MOD(I12,1)</f>
        <v>0.84999999999999964</v>
      </c>
    </row>
    <row r="16" spans="1:12" x14ac:dyDescent="0.25">
      <c r="A16" s="35" t="s">
        <v>42</v>
      </c>
      <c r="B16" s="37">
        <v>299</v>
      </c>
      <c r="C16" s="37">
        <v>27</v>
      </c>
      <c r="D16" s="35">
        <f>COUNT($B$6:$B16)/(COUNT(B$6:B$1000)+1)</f>
        <v>6.2146892655367235E-2</v>
      </c>
      <c r="F16" s="63">
        <v>0</v>
      </c>
      <c r="G16" s="51">
        <v>0.2</v>
      </c>
      <c r="H16" s="64"/>
      <c r="I16" s="51"/>
    </row>
    <row r="17" spans="1:13" x14ac:dyDescent="0.25">
      <c r="A17" s="35" t="s">
        <v>78</v>
      </c>
      <c r="B17" s="37">
        <v>301</v>
      </c>
      <c r="C17" s="37">
        <v>113</v>
      </c>
      <c r="D17" s="35">
        <f>COUNT($B$6:$B17)/(COUNT(B$6:B$1000)+1)</f>
        <v>6.7796610169491525E-2</v>
      </c>
      <c r="F17" s="44">
        <v>1.2</v>
      </c>
      <c r="G17" s="54">
        <v>0.2</v>
      </c>
      <c r="H17" s="45"/>
      <c r="I17" s="54"/>
    </row>
    <row r="18" spans="1:13" x14ac:dyDescent="0.25">
      <c r="A18" s="35" t="s">
        <v>111</v>
      </c>
      <c r="B18" s="37">
        <v>316</v>
      </c>
      <c r="C18" s="37">
        <v>219</v>
      </c>
      <c r="D18" s="35">
        <f>COUNT($B$6:$B18)/(COUNT(B$6:B$1000)+1)</f>
        <v>7.3446327683615822E-2</v>
      </c>
      <c r="F18" s="44">
        <v>2.5</v>
      </c>
      <c r="G18" s="54">
        <v>0.5</v>
      </c>
      <c r="H18" s="45"/>
      <c r="I18" s="54"/>
    </row>
    <row r="19" spans="1:13" x14ac:dyDescent="0.25">
      <c r="A19" s="35" t="s">
        <v>24</v>
      </c>
      <c r="B19" s="37">
        <v>324</v>
      </c>
      <c r="C19" s="37">
        <v>70</v>
      </c>
      <c r="D19" s="35">
        <f>COUNT($B$6:$B19)/(COUNT(B$6:B$1000)+1)</f>
        <v>7.909604519774012E-2</v>
      </c>
      <c r="F19" s="44">
        <v>5</v>
      </c>
      <c r="G19" s="54">
        <v>1</v>
      </c>
      <c r="H19" s="45"/>
      <c r="I19" s="54"/>
    </row>
    <row r="20" spans="1:13" x14ac:dyDescent="0.25">
      <c r="A20" s="35" t="s">
        <v>169</v>
      </c>
      <c r="B20" s="37">
        <v>331</v>
      </c>
      <c r="C20" s="37">
        <v>44</v>
      </c>
      <c r="D20" s="35">
        <f>COUNT($B$6:$B20)/(COUNT(B$6:B$1000)+1)</f>
        <v>8.4745762711864403E-2</v>
      </c>
      <c r="F20" s="65">
        <v>10</v>
      </c>
      <c r="G20" s="57">
        <v>2</v>
      </c>
      <c r="H20" s="66"/>
      <c r="I20" s="57"/>
    </row>
    <row r="21" spans="1:13" x14ac:dyDescent="0.25">
      <c r="A21" s="35" t="s">
        <v>217</v>
      </c>
      <c r="B21" s="37">
        <v>333</v>
      </c>
      <c r="C21" s="37">
        <v>25</v>
      </c>
      <c r="D21" s="35">
        <f>COUNT($B$6:$B21)/(COUNT(B$6:B$1000)+1)</f>
        <v>9.03954802259887E-2</v>
      </c>
      <c r="H21" s="70" t="s">
        <v>292</v>
      </c>
      <c r="I21" s="70"/>
    </row>
    <row r="22" spans="1:13" x14ac:dyDescent="0.25">
      <c r="A22" s="35" t="s">
        <v>68</v>
      </c>
      <c r="B22" s="37">
        <v>335</v>
      </c>
      <c r="C22" s="37">
        <v>683</v>
      </c>
      <c r="D22" s="35">
        <f>COUNT($B$6:$B22)/(COUNT(B$6:B$1000)+1)</f>
        <v>9.6045197740112997E-2</v>
      </c>
    </row>
    <row r="23" spans="1:13" x14ac:dyDescent="0.25">
      <c r="A23" s="35" t="s">
        <v>149</v>
      </c>
      <c r="B23" s="37">
        <v>343</v>
      </c>
      <c r="C23" s="37">
        <v>93</v>
      </c>
      <c r="D23" s="35">
        <f>COUNT($B$6:$B23)/(COUNT(B$6:B$1000)+1)</f>
        <v>0.10169491525423729</v>
      </c>
    </row>
    <row r="24" spans="1:13" x14ac:dyDescent="0.25">
      <c r="A24" s="35" t="s">
        <v>66</v>
      </c>
      <c r="B24" s="37">
        <v>345</v>
      </c>
      <c r="C24" s="37">
        <v>752</v>
      </c>
      <c r="D24" s="35">
        <f>COUNT($B$6:$B24)/(COUNT(B$6:B$1000)+1)</f>
        <v>0.10734463276836158</v>
      </c>
    </row>
    <row r="25" spans="1:13" x14ac:dyDescent="0.25">
      <c r="A25" s="35" t="s">
        <v>107</v>
      </c>
      <c r="B25" s="37">
        <v>356</v>
      </c>
      <c r="C25" s="37">
        <v>282</v>
      </c>
      <c r="D25" s="35">
        <f>COUNT($B$6:$B25)/(COUNT(B$6:B$1000)+1)</f>
        <v>0.11299435028248588</v>
      </c>
      <c r="J25"/>
      <c r="K25"/>
      <c r="L25"/>
      <c r="M25"/>
    </row>
    <row r="26" spans="1:13" x14ac:dyDescent="0.25">
      <c r="A26" s="35" t="s">
        <v>15</v>
      </c>
      <c r="B26" s="37">
        <v>360</v>
      </c>
      <c r="C26" s="37">
        <v>390</v>
      </c>
      <c r="D26" s="35">
        <f>COUNT($B$6:$B26)/(COUNT(B$6:B$1000)+1)</f>
        <v>0.11864406779661017</v>
      </c>
      <c r="H26"/>
      <c r="I26"/>
      <c r="J26"/>
      <c r="K26"/>
      <c r="L26"/>
      <c r="M26"/>
    </row>
    <row r="27" spans="1:13" x14ac:dyDescent="0.25">
      <c r="A27" s="35" t="s">
        <v>133</v>
      </c>
      <c r="B27" s="37">
        <v>387</v>
      </c>
      <c r="C27" s="37">
        <v>35</v>
      </c>
      <c r="D27" s="35">
        <f>COUNT($B$6:$B27)/(COUNT(B$6:B$1000)+1)</f>
        <v>0.12429378531073447</v>
      </c>
      <c r="H27"/>
      <c r="I27"/>
      <c r="J27"/>
      <c r="K27"/>
      <c r="L27"/>
      <c r="M27"/>
    </row>
    <row r="28" spans="1:13" x14ac:dyDescent="0.25">
      <c r="A28" s="35" t="s">
        <v>124</v>
      </c>
      <c r="B28" s="37">
        <v>389</v>
      </c>
      <c r="C28" s="37">
        <v>675</v>
      </c>
      <c r="D28" s="35">
        <f>COUNT($B$6:$B28)/(COUNT(B$6:B$1000)+1)</f>
        <v>0.12994350282485875</v>
      </c>
      <c r="H28"/>
      <c r="I28"/>
      <c r="J28"/>
      <c r="K28"/>
      <c r="L28"/>
      <c r="M28"/>
    </row>
    <row r="29" spans="1:13" x14ac:dyDescent="0.25">
      <c r="A29" s="35" t="s">
        <v>59</v>
      </c>
      <c r="B29" s="37">
        <v>391</v>
      </c>
      <c r="C29" s="37">
        <v>201</v>
      </c>
      <c r="D29" s="35">
        <f>COUNT($B$6:$B29)/(COUNT(B$6:B$1000)+1)</f>
        <v>0.13559322033898305</v>
      </c>
      <c r="H29"/>
      <c r="I29"/>
      <c r="J29"/>
      <c r="K29"/>
      <c r="L29"/>
      <c r="M29"/>
    </row>
    <row r="30" spans="1:13" x14ac:dyDescent="0.25">
      <c r="A30" s="35" t="s">
        <v>52</v>
      </c>
      <c r="B30" s="37">
        <v>393</v>
      </c>
      <c r="C30" s="37">
        <v>120</v>
      </c>
      <c r="D30" s="35">
        <f>COUNT($B$6:$B30)/(COUNT(B$6:B$1000)+1)</f>
        <v>0.14124293785310735</v>
      </c>
      <c r="H30"/>
      <c r="I30"/>
      <c r="J30"/>
      <c r="K30"/>
      <c r="L30"/>
      <c r="M30"/>
    </row>
    <row r="31" spans="1:13" x14ac:dyDescent="0.25">
      <c r="A31" s="35" t="s">
        <v>91</v>
      </c>
      <c r="B31" s="37">
        <v>396</v>
      </c>
      <c r="C31" s="37">
        <v>369</v>
      </c>
      <c r="D31" s="35">
        <f>COUNT($B$6:$B31)/(COUNT(B$6:B$1000)+1)</f>
        <v>0.14689265536723164</v>
      </c>
      <c r="H31"/>
      <c r="I31"/>
      <c r="J31"/>
      <c r="K31"/>
      <c r="L31"/>
      <c r="M31"/>
    </row>
    <row r="32" spans="1:13" x14ac:dyDescent="0.25">
      <c r="A32" s="35" t="s">
        <v>142</v>
      </c>
      <c r="B32" s="37">
        <v>401</v>
      </c>
      <c r="C32" s="37">
        <v>35</v>
      </c>
      <c r="D32" s="35">
        <f>COUNT($B$6:$B32)/(COUNT(B$6:B$1000)+1)</f>
        <v>0.15254237288135594</v>
      </c>
      <c r="H32"/>
      <c r="I32"/>
      <c r="J32"/>
      <c r="K32"/>
      <c r="L32"/>
      <c r="M32"/>
    </row>
    <row r="33" spans="1:13" x14ac:dyDescent="0.25">
      <c r="A33" s="35" t="s">
        <v>12</v>
      </c>
      <c r="B33" s="37">
        <v>404</v>
      </c>
      <c r="C33" s="37">
        <v>41</v>
      </c>
      <c r="D33" s="35">
        <f>COUNT($B$6:$B33)/(COUNT(B$6:B$1000)+1)</f>
        <v>0.15819209039548024</v>
      </c>
      <c r="H33"/>
      <c r="I33"/>
      <c r="J33"/>
      <c r="K33"/>
      <c r="L33"/>
      <c r="M33"/>
    </row>
    <row r="34" spans="1:13" x14ac:dyDescent="0.25">
      <c r="A34" s="35" t="s">
        <v>180</v>
      </c>
      <c r="B34" s="37">
        <v>408</v>
      </c>
      <c r="C34" s="37">
        <v>150</v>
      </c>
      <c r="D34" s="35">
        <f>COUNT($B$6:$B34)/(COUNT(B$6:B$1000)+1)</f>
        <v>0.16384180790960451</v>
      </c>
      <c r="H34"/>
      <c r="I34"/>
      <c r="J34"/>
      <c r="K34"/>
      <c r="L34"/>
      <c r="M34"/>
    </row>
    <row r="35" spans="1:13" x14ac:dyDescent="0.25">
      <c r="A35" s="35" t="s">
        <v>74</v>
      </c>
      <c r="B35" s="37">
        <v>410</v>
      </c>
      <c r="C35" s="37">
        <v>445</v>
      </c>
      <c r="D35" s="35">
        <f>COUNT($B$6:$B35)/(COUNT(B$6:B$1000)+1)</f>
        <v>0.16949152542372881</v>
      </c>
      <c r="H35"/>
      <c r="I35"/>
      <c r="J35"/>
      <c r="K35"/>
      <c r="L35"/>
      <c r="M35"/>
    </row>
    <row r="36" spans="1:13" x14ac:dyDescent="0.25">
      <c r="A36" s="35" t="s">
        <v>119</v>
      </c>
      <c r="B36" s="37">
        <v>419</v>
      </c>
      <c r="C36" s="37">
        <v>50</v>
      </c>
      <c r="D36" s="35">
        <f>COUNT($B$6:$B36)/(COUNT(B$6:B$1000)+1)</f>
        <v>0.1751412429378531</v>
      </c>
    </row>
    <row r="37" spans="1:13" x14ac:dyDescent="0.25">
      <c r="A37" s="35" t="s">
        <v>70</v>
      </c>
      <c r="B37" s="37">
        <v>434</v>
      </c>
      <c r="C37" s="37">
        <v>289</v>
      </c>
      <c r="D37" s="35">
        <f>COUNT($B$6:$B37)/(COUNT(B$6:B$1000)+1)</f>
        <v>0.1807909604519774</v>
      </c>
    </row>
    <row r="38" spans="1:13" x14ac:dyDescent="0.25">
      <c r="A38" s="35" t="s">
        <v>156</v>
      </c>
      <c r="B38" s="37">
        <v>449</v>
      </c>
      <c r="C38" s="37">
        <v>148</v>
      </c>
      <c r="D38" s="35">
        <f>COUNT($B$6:$B38)/(COUNT(B$6:B$1000)+1)</f>
        <v>0.1864406779661017</v>
      </c>
    </row>
    <row r="39" spans="1:13" x14ac:dyDescent="0.25">
      <c r="A39" s="35" t="s">
        <v>97</v>
      </c>
      <c r="B39" s="37">
        <v>450</v>
      </c>
      <c r="C39" s="37">
        <v>32</v>
      </c>
      <c r="D39" s="35">
        <f>COUNT($B$6:$B39)/(COUNT(B$6:B$1000)+1)</f>
        <v>0.19209039548022599</v>
      </c>
    </row>
    <row r="40" spans="1:13" x14ac:dyDescent="0.25">
      <c r="A40" s="35" t="s">
        <v>140</v>
      </c>
      <c r="B40" s="37">
        <v>456</v>
      </c>
      <c r="C40" s="37">
        <v>128</v>
      </c>
      <c r="D40" s="35">
        <f>COUNT($B$6:$B40)/(COUNT(B$6:B$1000)+1)</f>
        <v>0.19774011299435029</v>
      </c>
    </row>
    <row r="41" spans="1:13" x14ac:dyDescent="0.25">
      <c r="A41" s="35" t="s">
        <v>84</v>
      </c>
      <c r="B41" s="37">
        <v>468</v>
      </c>
      <c r="C41" s="37">
        <v>868</v>
      </c>
      <c r="D41" s="35">
        <f>COUNT($B$6:$B41)/(COUNT(B$6:B$1000)+1)</f>
        <v>0.20338983050847459</v>
      </c>
    </row>
    <row r="42" spans="1:13" x14ac:dyDescent="0.25">
      <c r="A42" s="35" t="s">
        <v>26</v>
      </c>
      <c r="B42" s="37">
        <v>474</v>
      </c>
      <c r="C42" s="37">
        <v>26</v>
      </c>
      <c r="D42" s="35">
        <f>COUNT($B$6:$B42)/(COUNT(B$6:B$1000)+1)</f>
        <v>0.20903954802259886</v>
      </c>
    </row>
    <row r="43" spans="1:13" x14ac:dyDescent="0.25">
      <c r="A43" s="35" t="s">
        <v>67</v>
      </c>
      <c r="B43" s="37">
        <v>478</v>
      </c>
      <c r="C43" s="37">
        <v>220</v>
      </c>
      <c r="D43" s="35">
        <f>COUNT($B$6:$B43)/(COUNT(B$6:B$1000)+1)</f>
        <v>0.21468926553672316</v>
      </c>
    </row>
    <row r="44" spans="1:13" x14ac:dyDescent="0.25">
      <c r="A44" s="35" t="s">
        <v>148</v>
      </c>
      <c r="B44" s="37">
        <v>525</v>
      </c>
      <c r="C44" s="37">
        <v>211</v>
      </c>
      <c r="D44" s="35">
        <f>COUNT($B$6:$B44)/(COUNT(B$6:B$1000)+1)</f>
        <v>0.22033898305084745</v>
      </c>
    </row>
    <row r="45" spans="1:13" x14ac:dyDescent="0.25">
      <c r="A45" s="35" t="s">
        <v>43</v>
      </c>
      <c r="B45" s="37">
        <v>544</v>
      </c>
      <c r="C45" s="37">
        <v>155</v>
      </c>
      <c r="D45" s="35">
        <f>COUNT($B$6:$B45)/(COUNT(B$6:B$1000)+1)</f>
        <v>0.22598870056497175</v>
      </c>
    </row>
    <row r="46" spans="1:13" x14ac:dyDescent="0.25">
      <c r="A46" s="35" t="s">
        <v>159</v>
      </c>
      <c r="B46" s="37">
        <v>563</v>
      </c>
      <c r="C46" s="37">
        <v>60</v>
      </c>
      <c r="D46" s="35">
        <f>COUNT($B$6:$B46)/(COUNT(B$6:B$1000)+1)</f>
        <v>0.23163841807909605</v>
      </c>
    </row>
    <row r="47" spans="1:13" x14ac:dyDescent="0.25">
      <c r="A47" s="35" t="s">
        <v>56</v>
      </c>
      <c r="B47" s="37">
        <v>611</v>
      </c>
      <c r="C47" s="37">
        <v>249</v>
      </c>
      <c r="D47" s="35">
        <f>COUNT($B$6:$B47)/(COUNT(B$6:B$1000)+1)</f>
        <v>0.23728813559322035</v>
      </c>
    </row>
    <row r="48" spans="1:13" x14ac:dyDescent="0.25">
      <c r="A48" s="35" t="s">
        <v>139</v>
      </c>
      <c r="B48" s="37">
        <v>657</v>
      </c>
      <c r="C48" s="37">
        <v>145</v>
      </c>
      <c r="D48" s="35">
        <f>COUNT($B$6:$B48)/(COUNT(B$6:B$1000)+1)</f>
        <v>0.24293785310734464</v>
      </c>
    </row>
    <row r="49" spans="1:4" x14ac:dyDescent="0.25">
      <c r="A49" s="35" t="s">
        <v>64</v>
      </c>
      <c r="B49" s="37">
        <v>681</v>
      </c>
      <c r="C49" s="37">
        <v>99</v>
      </c>
      <c r="D49" s="35">
        <f>COUNT($B$6:$B49)/(COUNT(B$6:B$1000)+1)</f>
        <v>0.24858757062146894</v>
      </c>
    </row>
    <row r="50" spans="1:4" x14ac:dyDescent="0.25">
      <c r="A50" s="35" t="s">
        <v>181</v>
      </c>
      <c r="B50" s="37">
        <v>704</v>
      </c>
      <c r="C50" s="37">
        <v>93</v>
      </c>
      <c r="D50" s="35">
        <f>COUNT($B$6:$B50)/(COUNT(B$6:B$1000)+1)</f>
        <v>0.25423728813559321</v>
      </c>
    </row>
    <row r="51" spans="1:4" x14ac:dyDescent="0.25">
      <c r="A51" s="35" t="s">
        <v>2</v>
      </c>
      <c r="B51" s="37">
        <v>710</v>
      </c>
      <c r="C51" s="37">
        <v>63</v>
      </c>
      <c r="D51" s="35">
        <f>COUNT($B$6:$B51)/(COUNT(B$6:B$1000)+1)</f>
        <v>0.25988700564971751</v>
      </c>
    </row>
    <row r="52" spans="1:4" x14ac:dyDescent="0.25">
      <c r="A52" s="35" t="s">
        <v>73</v>
      </c>
      <c r="B52" s="37">
        <v>723</v>
      </c>
      <c r="C52" s="37">
        <v>34</v>
      </c>
      <c r="D52" s="35">
        <f>COUNT($B$6:$B52)/(COUNT(B$6:B$1000)+1)</f>
        <v>0.2655367231638418</v>
      </c>
    </row>
    <row r="53" spans="1:4" x14ac:dyDescent="0.25">
      <c r="A53" s="35" t="s">
        <v>128</v>
      </c>
      <c r="B53" s="37">
        <v>746</v>
      </c>
      <c r="C53" s="37">
        <v>188</v>
      </c>
      <c r="D53" s="35">
        <f>COUNT($B$6:$B53)/(COUNT(B$6:B$1000)+1)</f>
        <v>0.2711864406779661</v>
      </c>
    </row>
    <row r="54" spans="1:4" x14ac:dyDescent="0.25">
      <c r="A54" s="35" t="s">
        <v>50</v>
      </c>
      <c r="B54" s="37">
        <v>771</v>
      </c>
      <c r="C54" s="37">
        <v>33</v>
      </c>
      <c r="D54" s="35">
        <f>COUNT($B$6:$B54)/(COUNT(B$6:B$1000)+1)</f>
        <v>0.2768361581920904</v>
      </c>
    </row>
    <row r="55" spans="1:4" x14ac:dyDescent="0.25">
      <c r="A55" s="35" t="s">
        <v>100</v>
      </c>
      <c r="B55" s="37">
        <v>771</v>
      </c>
      <c r="C55" s="37">
        <v>45</v>
      </c>
      <c r="D55" s="35">
        <f>COUNT($B$6:$B55)/(COUNT(B$6:B$1000)+1)</f>
        <v>0.2824858757062147</v>
      </c>
    </row>
    <row r="56" spans="1:4" x14ac:dyDescent="0.25">
      <c r="A56" s="35" t="s">
        <v>98</v>
      </c>
      <c r="B56" s="37">
        <v>779</v>
      </c>
      <c r="C56" s="37">
        <v>793</v>
      </c>
      <c r="D56" s="35">
        <f>COUNT($B$6:$B56)/(COUNT(B$6:B$1000)+1)</f>
        <v>0.28813559322033899</v>
      </c>
    </row>
    <row r="57" spans="1:4" x14ac:dyDescent="0.25">
      <c r="A57" s="35" t="s">
        <v>16</v>
      </c>
      <c r="B57" s="37">
        <v>798</v>
      </c>
      <c r="C57" s="37">
        <v>1054</v>
      </c>
      <c r="D57" s="35">
        <f>COUNT($B$6:$B57)/(COUNT(B$6:B$1000)+1)</f>
        <v>0.29378531073446329</v>
      </c>
    </row>
    <row r="58" spans="1:4" x14ac:dyDescent="0.25">
      <c r="A58" s="35" t="s">
        <v>80</v>
      </c>
      <c r="B58" s="37">
        <v>822</v>
      </c>
      <c r="C58" s="37">
        <v>37</v>
      </c>
      <c r="D58" s="35">
        <f>COUNT($B$6:$B58)/(COUNT(B$6:B$1000)+1)</f>
        <v>0.29943502824858759</v>
      </c>
    </row>
    <row r="59" spans="1:4" x14ac:dyDescent="0.25">
      <c r="A59" s="35" t="s">
        <v>134</v>
      </c>
      <c r="B59" s="37">
        <v>843</v>
      </c>
      <c r="C59" s="37">
        <v>716</v>
      </c>
      <c r="D59" s="35">
        <f>COUNT($B$6:$B59)/(COUNT(B$6:B$1000)+1)</f>
        <v>0.30508474576271188</v>
      </c>
    </row>
    <row r="60" spans="1:4" x14ac:dyDescent="0.25">
      <c r="A60" s="35" t="s">
        <v>161</v>
      </c>
      <c r="B60" s="37">
        <v>843</v>
      </c>
      <c r="C60" s="37">
        <v>479</v>
      </c>
      <c r="D60" s="35">
        <f>COUNT($B$6:$B60)/(COUNT(B$6:B$1000)+1)</f>
        <v>0.31073446327683618</v>
      </c>
    </row>
    <row r="61" spans="1:4" x14ac:dyDescent="0.25">
      <c r="A61" s="35" t="s">
        <v>60</v>
      </c>
      <c r="B61" s="37">
        <v>844</v>
      </c>
      <c r="C61" s="37">
        <v>95</v>
      </c>
      <c r="D61" s="35">
        <f>COUNT($B$6:$B61)/(COUNT(B$6:B$1000)+1)</f>
        <v>0.31638418079096048</v>
      </c>
    </row>
    <row r="62" spans="1:4" x14ac:dyDescent="0.25">
      <c r="A62" s="35" t="s">
        <v>163</v>
      </c>
      <c r="B62" s="37">
        <v>845</v>
      </c>
      <c r="C62" s="37">
        <v>1218</v>
      </c>
      <c r="D62" s="35">
        <f>COUNT($B$6:$B62)/(COUNT(B$6:B$1000)+1)</f>
        <v>0.32203389830508472</v>
      </c>
    </row>
    <row r="63" spans="1:4" x14ac:dyDescent="0.25">
      <c r="A63" s="35" t="s">
        <v>23</v>
      </c>
      <c r="B63" s="37">
        <v>851</v>
      </c>
      <c r="C63" s="37">
        <v>70</v>
      </c>
      <c r="D63" s="35">
        <f>COUNT($B$6:$B63)/(COUNT(B$6:B$1000)+1)</f>
        <v>0.32768361581920902</v>
      </c>
    </row>
    <row r="64" spans="1:4" x14ac:dyDescent="0.25">
      <c r="A64" s="35" t="s">
        <v>179</v>
      </c>
      <c r="B64" s="37">
        <v>861</v>
      </c>
      <c r="C64" s="37">
        <v>117</v>
      </c>
      <c r="D64" s="35">
        <f>COUNT($B$6:$B64)/(COUNT(B$6:B$1000)+1)</f>
        <v>0.33333333333333331</v>
      </c>
    </row>
    <row r="65" spans="1:4" x14ac:dyDescent="0.25">
      <c r="A65" s="35" t="s">
        <v>147</v>
      </c>
      <c r="B65" s="37">
        <v>895</v>
      </c>
      <c r="C65" s="37">
        <v>58</v>
      </c>
      <c r="D65" s="35">
        <f>COUNT($B$6:$B65)/(COUNT(B$6:B$1000)+1)</f>
        <v>0.33898305084745761</v>
      </c>
    </row>
    <row r="66" spans="1:4" x14ac:dyDescent="0.25">
      <c r="A66" s="35" t="s">
        <v>86</v>
      </c>
      <c r="B66" s="37">
        <v>913</v>
      </c>
      <c r="C66" s="37">
        <v>32</v>
      </c>
      <c r="D66" s="35">
        <f>COUNT($B$6:$B66)/(COUNT(B$6:B$1000)+1)</f>
        <v>0.34463276836158191</v>
      </c>
    </row>
    <row r="67" spans="1:4" x14ac:dyDescent="0.25">
      <c r="A67" s="35" t="s">
        <v>160</v>
      </c>
      <c r="B67" s="37">
        <v>920</v>
      </c>
      <c r="C67" s="37">
        <v>424</v>
      </c>
      <c r="D67" s="35">
        <f>COUNT($B$6:$B67)/(COUNT(B$6:B$1000)+1)</f>
        <v>0.35028248587570621</v>
      </c>
    </row>
    <row r="68" spans="1:4" x14ac:dyDescent="0.25">
      <c r="A68" s="35" t="s">
        <v>1</v>
      </c>
      <c r="B68" s="37">
        <v>947</v>
      </c>
      <c r="C68" s="37">
        <v>1291</v>
      </c>
      <c r="D68" s="35">
        <f>COUNT($B$6:$B68)/(COUNT(B$6:B$1000)+1)</f>
        <v>0.3559322033898305</v>
      </c>
    </row>
    <row r="69" spans="1:4" x14ac:dyDescent="0.25">
      <c r="A69" s="35" t="s">
        <v>19</v>
      </c>
      <c r="B69" s="37">
        <v>960</v>
      </c>
      <c r="C69" s="37">
        <v>33</v>
      </c>
      <c r="D69" s="35">
        <f>COUNT($B$6:$B69)/(COUNT(B$6:B$1000)+1)</f>
        <v>0.3615819209039548</v>
      </c>
    </row>
    <row r="70" spans="1:4" x14ac:dyDescent="0.25">
      <c r="A70" s="35" t="s">
        <v>61</v>
      </c>
      <c r="B70" s="37">
        <v>1036</v>
      </c>
      <c r="C70" s="37">
        <v>564</v>
      </c>
      <c r="D70" s="35">
        <f>COUNT($B$6:$B70)/(COUNT(B$6:B$1000)+1)</f>
        <v>0.3672316384180791</v>
      </c>
    </row>
    <row r="71" spans="1:4" x14ac:dyDescent="0.25">
      <c r="A71" s="35" t="s">
        <v>32</v>
      </c>
      <c r="B71" s="37">
        <v>1101</v>
      </c>
      <c r="C71" s="37">
        <v>104</v>
      </c>
      <c r="D71" s="35">
        <f>COUNT($B$6:$B71)/(COUNT(B$6:B$1000)+1)</f>
        <v>0.3728813559322034</v>
      </c>
    </row>
    <row r="72" spans="1:4" x14ac:dyDescent="0.25">
      <c r="A72" s="35" t="s">
        <v>83</v>
      </c>
      <c r="B72" s="37">
        <v>1146</v>
      </c>
      <c r="C72" s="37">
        <v>1303</v>
      </c>
      <c r="D72" s="35">
        <f>COUNT($B$6:$B72)/(COUNT(B$6:B$1000)+1)</f>
        <v>0.37853107344632769</v>
      </c>
    </row>
    <row r="73" spans="1:4" x14ac:dyDescent="0.25">
      <c r="A73" s="35" t="s">
        <v>120</v>
      </c>
      <c r="B73" s="37">
        <v>1183</v>
      </c>
      <c r="C73" s="37">
        <v>232</v>
      </c>
      <c r="D73" s="35">
        <f>COUNT($B$6:$B73)/(COUNT(B$6:B$1000)+1)</f>
        <v>0.38418079096045199</v>
      </c>
    </row>
    <row r="74" spans="1:4" x14ac:dyDescent="0.25">
      <c r="A74" s="35" t="s">
        <v>96</v>
      </c>
      <c r="B74" s="37">
        <v>1190</v>
      </c>
      <c r="C74" s="37">
        <v>153</v>
      </c>
      <c r="D74" s="35">
        <f>COUNT($B$6:$B74)/(COUNT(B$6:B$1000)+1)</f>
        <v>0.38983050847457629</v>
      </c>
    </row>
    <row r="75" spans="1:4" x14ac:dyDescent="0.25">
      <c r="A75" s="35" t="s">
        <v>58</v>
      </c>
      <c r="B75" s="37">
        <v>1249</v>
      </c>
      <c r="C75" s="37">
        <v>26</v>
      </c>
      <c r="D75" s="35">
        <f>COUNT($B$6:$B75)/(COUNT(B$6:B$1000)+1)</f>
        <v>0.39548022598870058</v>
      </c>
    </row>
    <row r="76" spans="1:4" x14ac:dyDescent="0.25">
      <c r="A76" s="35" t="s">
        <v>30</v>
      </c>
      <c r="B76" s="37">
        <v>1311</v>
      </c>
      <c r="C76" s="37">
        <v>658</v>
      </c>
      <c r="D76" s="35">
        <f>COUNT($B$6:$B76)/(COUNT(B$6:B$1000)+1)</f>
        <v>0.40112994350282488</v>
      </c>
    </row>
    <row r="77" spans="1:4" x14ac:dyDescent="0.25">
      <c r="A77" s="35" t="s">
        <v>153</v>
      </c>
      <c r="B77" s="37">
        <v>1341</v>
      </c>
      <c r="C77" s="37">
        <v>134</v>
      </c>
      <c r="D77" s="35">
        <f>COUNT($B$6:$B77)/(COUNT(B$6:B$1000)+1)</f>
        <v>0.40677966101694918</v>
      </c>
    </row>
    <row r="78" spans="1:4" x14ac:dyDescent="0.25">
      <c r="A78" s="35" t="s">
        <v>108</v>
      </c>
      <c r="B78" s="37">
        <v>1424</v>
      </c>
      <c r="C78" s="37">
        <v>32</v>
      </c>
      <c r="D78" s="35">
        <f>COUNT($B$6:$B78)/(COUNT(B$6:B$1000)+1)</f>
        <v>0.41242937853107342</v>
      </c>
    </row>
    <row r="79" spans="1:4" x14ac:dyDescent="0.25">
      <c r="A79" s="35" t="s">
        <v>72</v>
      </c>
      <c r="B79" s="37">
        <v>1426</v>
      </c>
      <c r="C79" s="37">
        <v>226</v>
      </c>
      <c r="D79" s="35">
        <f>COUNT($B$6:$B79)/(COUNT(B$6:B$1000)+1)</f>
        <v>0.41807909604519772</v>
      </c>
    </row>
    <row r="80" spans="1:4" x14ac:dyDescent="0.25">
      <c r="A80" s="35" t="s">
        <v>132</v>
      </c>
      <c r="B80" s="37">
        <v>1445</v>
      </c>
      <c r="C80" s="37">
        <v>69</v>
      </c>
      <c r="D80" s="35">
        <f>COUNT($B$6:$B80)/(COUNT(B$6:B$1000)+1)</f>
        <v>0.42372881355932202</v>
      </c>
    </row>
    <row r="81" spans="1:4" x14ac:dyDescent="0.25">
      <c r="A81" s="35" t="s">
        <v>141</v>
      </c>
      <c r="B81" s="37">
        <v>1451</v>
      </c>
      <c r="C81" s="37">
        <v>271</v>
      </c>
      <c r="D81" s="35">
        <f>COUNT($B$6:$B81)/(COUNT(B$6:B$1000)+1)</f>
        <v>0.42937853107344631</v>
      </c>
    </row>
    <row r="82" spans="1:4" x14ac:dyDescent="0.25">
      <c r="A82" s="35" t="s">
        <v>22</v>
      </c>
      <c r="B82" s="37">
        <v>1460</v>
      </c>
      <c r="C82" s="37">
        <v>2493</v>
      </c>
      <c r="D82" s="35">
        <f>COUNT($B$6:$B82)/(COUNT(B$6:B$1000)+1)</f>
        <v>0.43502824858757061</v>
      </c>
    </row>
    <row r="83" spans="1:4" x14ac:dyDescent="0.25">
      <c r="A83" s="35" t="s">
        <v>13</v>
      </c>
      <c r="B83" s="37">
        <v>1478</v>
      </c>
      <c r="C83" s="37">
        <v>34</v>
      </c>
      <c r="D83" s="35">
        <f>COUNT($B$6:$B83)/(COUNT(B$6:B$1000)+1)</f>
        <v>0.44067796610169491</v>
      </c>
    </row>
    <row r="84" spans="1:4" x14ac:dyDescent="0.25">
      <c r="A84" s="35" t="s">
        <v>65</v>
      </c>
      <c r="B84" s="37">
        <v>1505</v>
      </c>
      <c r="C84" s="37">
        <v>501</v>
      </c>
      <c r="D84" s="35">
        <f>COUNT($B$6:$B84)/(COUNT(B$6:B$1000)+1)</f>
        <v>0.4463276836158192</v>
      </c>
    </row>
    <row r="85" spans="1:4" x14ac:dyDescent="0.25">
      <c r="A85" s="35" t="s">
        <v>155</v>
      </c>
      <c r="B85" s="37">
        <v>1569</v>
      </c>
      <c r="C85" s="37">
        <v>710</v>
      </c>
      <c r="D85" s="35">
        <f>COUNT($B$6:$B85)/(COUNT(B$6:B$1000)+1)</f>
        <v>0.4519774011299435</v>
      </c>
    </row>
    <row r="86" spans="1:4" x14ac:dyDescent="0.25">
      <c r="A86" s="35" t="s">
        <v>121</v>
      </c>
      <c r="B86" s="37">
        <v>1613</v>
      </c>
      <c r="C86" s="37">
        <v>32</v>
      </c>
      <c r="D86" s="35">
        <f>COUNT($B$6:$B86)/(COUNT(B$6:B$1000)+1)</f>
        <v>0.4576271186440678</v>
      </c>
    </row>
    <row r="87" spans="1:4" x14ac:dyDescent="0.25">
      <c r="A87" s="35" t="s">
        <v>146</v>
      </c>
      <c r="B87" s="37">
        <v>1632</v>
      </c>
      <c r="C87" s="37">
        <v>27</v>
      </c>
      <c r="D87" s="35">
        <f>COUNT($B$6:$B87)/(COUNT(B$6:B$1000)+1)</f>
        <v>0.4632768361581921</v>
      </c>
    </row>
    <row r="88" spans="1:4" x14ac:dyDescent="0.25">
      <c r="A88" s="35" t="s">
        <v>137</v>
      </c>
      <c r="B88" s="37">
        <v>1633</v>
      </c>
      <c r="C88" s="37">
        <v>89</v>
      </c>
      <c r="D88" s="35">
        <f>COUNT($B$6:$B88)/(COUNT(B$6:B$1000)+1)</f>
        <v>0.46892655367231639</v>
      </c>
    </row>
    <row r="89" spans="1:4" x14ac:dyDescent="0.25">
      <c r="A89" s="35" t="s">
        <v>27</v>
      </c>
      <c r="B89" s="37">
        <v>1676</v>
      </c>
      <c r="C89" s="37">
        <v>152</v>
      </c>
      <c r="D89" s="35">
        <f>COUNT($B$6:$B89)/(COUNT(B$6:B$1000)+1)</f>
        <v>0.47457627118644069</v>
      </c>
    </row>
    <row r="90" spans="1:4" x14ac:dyDescent="0.25">
      <c r="A90" s="35" t="s">
        <v>123</v>
      </c>
      <c r="B90" s="37">
        <v>1689</v>
      </c>
      <c r="C90" s="37">
        <v>91</v>
      </c>
      <c r="D90" s="35">
        <f>COUNT($B$6:$B90)/(COUNT(B$6:B$1000)+1)</f>
        <v>0.48022598870056499</v>
      </c>
    </row>
    <row r="91" spans="1:4" x14ac:dyDescent="0.25">
      <c r="A91" s="35" t="s">
        <v>118</v>
      </c>
      <c r="B91" s="37">
        <v>1800</v>
      </c>
      <c r="C91" s="37">
        <v>74</v>
      </c>
      <c r="D91" s="35">
        <f>COUNT($B$6:$B91)/(COUNT(B$6:B$1000)+1)</f>
        <v>0.48587570621468928</v>
      </c>
    </row>
    <row r="92" spans="1:4" x14ac:dyDescent="0.25">
      <c r="A92" s="35" t="s">
        <v>93</v>
      </c>
      <c r="B92" s="37">
        <v>1814</v>
      </c>
      <c r="C92" s="37">
        <v>70</v>
      </c>
      <c r="D92" s="35">
        <f>COUNT($B$6:$B92)/(COUNT(B$6:B$1000)+1)</f>
        <v>0.49152542372881358</v>
      </c>
    </row>
    <row r="93" spans="1:4" x14ac:dyDescent="0.25">
      <c r="A93" s="35" t="s">
        <v>69</v>
      </c>
      <c r="B93" s="37">
        <v>1858</v>
      </c>
      <c r="C93" s="37">
        <v>796</v>
      </c>
      <c r="D93" s="35">
        <f>COUNT($B$6:$B93)/(COUNT(B$6:B$1000)+1)</f>
        <v>0.49717514124293788</v>
      </c>
    </row>
    <row r="94" spans="1:4" x14ac:dyDescent="0.25">
      <c r="A94" s="35" t="s">
        <v>115</v>
      </c>
      <c r="B94" s="37">
        <v>1959</v>
      </c>
      <c r="C94" s="37">
        <v>42</v>
      </c>
      <c r="D94" s="35">
        <f>COUNT($B$6:$B94)/(COUNT(B$6:B$1000)+1)</f>
        <v>0.50282485875706218</v>
      </c>
    </row>
    <row r="95" spans="1:4" x14ac:dyDescent="0.25">
      <c r="A95" s="35" t="s">
        <v>75</v>
      </c>
      <c r="B95" s="37">
        <v>2016</v>
      </c>
      <c r="C95" s="37">
        <v>74</v>
      </c>
      <c r="D95" s="35">
        <f>COUNT($B$6:$B95)/(COUNT(B$6:B$1000)+1)</f>
        <v>0.50847457627118642</v>
      </c>
    </row>
    <row r="96" spans="1:4" x14ac:dyDescent="0.25">
      <c r="A96" s="35" t="s">
        <v>151</v>
      </c>
      <c r="B96" s="37">
        <v>2030</v>
      </c>
      <c r="C96" s="37">
        <v>52</v>
      </c>
      <c r="D96" s="35">
        <f>COUNT($B$6:$B96)/(COUNT(B$6:B$1000)+1)</f>
        <v>0.51412429378531077</v>
      </c>
    </row>
    <row r="97" spans="1:4" x14ac:dyDescent="0.25">
      <c r="A97" s="35" t="s">
        <v>87</v>
      </c>
      <c r="B97" s="37">
        <v>2087</v>
      </c>
      <c r="C97" s="37">
        <v>74</v>
      </c>
      <c r="D97" s="35">
        <f>COUNT($B$6:$B97)/(COUNT(B$6:B$1000)+1)</f>
        <v>0.51977401129943501</v>
      </c>
    </row>
    <row r="98" spans="1:4" x14ac:dyDescent="0.25">
      <c r="A98" s="35" t="s">
        <v>92</v>
      </c>
      <c r="B98" s="37">
        <v>2087</v>
      </c>
      <c r="C98" s="37">
        <v>1936</v>
      </c>
      <c r="D98" s="35">
        <f>COUNT($B$6:$B98)/(COUNT(B$6:B$1000)+1)</f>
        <v>0.52542372881355937</v>
      </c>
    </row>
    <row r="99" spans="1:4" x14ac:dyDescent="0.25">
      <c r="A99" s="35" t="s">
        <v>122</v>
      </c>
      <c r="B99" s="37">
        <v>2087</v>
      </c>
      <c r="C99" s="37">
        <v>77</v>
      </c>
      <c r="D99" s="35">
        <f>COUNT($B$6:$B99)/(COUNT(B$6:B$1000)+1)</f>
        <v>0.53107344632768361</v>
      </c>
    </row>
    <row r="100" spans="1:4" x14ac:dyDescent="0.25">
      <c r="A100" s="35" t="s">
        <v>166</v>
      </c>
      <c r="B100" s="37">
        <v>2087</v>
      </c>
      <c r="C100" s="37">
        <v>308</v>
      </c>
      <c r="D100" s="35">
        <f>COUNT($B$6:$B100)/(COUNT(B$6:B$1000)+1)</f>
        <v>0.53672316384180796</v>
      </c>
    </row>
    <row r="101" spans="1:4" x14ac:dyDescent="0.25">
      <c r="A101" s="35" t="s">
        <v>99</v>
      </c>
      <c r="B101" s="37">
        <v>2160</v>
      </c>
      <c r="C101" s="37">
        <v>99</v>
      </c>
      <c r="D101" s="35">
        <f>COUNT($B$6:$B101)/(COUNT(B$6:B$1000)+1)</f>
        <v>0.5423728813559322</v>
      </c>
    </row>
    <row r="102" spans="1:4" x14ac:dyDescent="0.25">
      <c r="A102" s="35" t="s">
        <v>47</v>
      </c>
      <c r="B102" s="37">
        <v>2169</v>
      </c>
      <c r="C102" s="37">
        <v>154</v>
      </c>
      <c r="D102" s="35">
        <f>COUNT($B$6:$B102)/(COUNT(B$6:B$1000)+1)</f>
        <v>0.54802259887005644</v>
      </c>
    </row>
    <row r="103" spans="1:4" x14ac:dyDescent="0.25">
      <c r="A103" s="35" t="s">
        <v>105</v>
      </c>
      <c r="B103" s="37">
        <v>2169</v>
      </c>
      <c r="C103" s="37">
        <v>31</v>
      </c>
      <c r="D103" s="35">
        <f>COUNT($B$6:$B103)/(COUNT(B$6:B$1000)+1)</f>
        <v>0.5536723163841808</v>
      </c>
    </row>
    <row r="104" spans="1:4" x14ac:dyDescent="0.25">
      <c r="A104" s="35" t="s">
        <v>21</v>
      </c>
      <c r="B104" s="37">
        <v>2257</v>
      </c>
      <c r="C104" s="37">
        <v>60</v>
      </c>
      <c r="D104" s="35">
        <f>COUNT($B$6:$B104)/(COUNT(B$6:B$1000)+1)</f>
        <v>0.55932203389830504</v>
      </c>
    </row>
    <row r="105" spans="1:4" x14ac:dyDescent="0.25">
      <c r="A105" s="35" t="s">
        <v>34</v>
      </c>
      <c r="B105" s="37">
        <v>2320</v>
      </c>
      <c r="C105" s="37">
        <v>270</v>
      </c>
      <c r="D105" s="35">
        <f>COUNT($B$6:$B105)/(COUNT(B$6:B$1000)+1)</f>
        <v>0.56497175141242939</v>
      </c>
    </row>
    <row r="106" spans="1:4" x14ac:dyDescent="0.25">
      <c r="A106" s="35" t="s">
        <v>85</v>
      </c>
      <c r="B106" s="37">
        <v>2320</v>
      </c>
      <c r="C106" s="37">
        <v>63</v>
      </c>
      <c r="D106" s="35">
        <f>COUNT($B$6:$B106)/(COUNT(B$6:B$1000)+1)</f>
        <v>0.57062146892655363</v>
      </c>
    </row>
    <row r="107" spans="1:4" x14ac:dyDescent="0.25">
      <c r="A107" s="35" t="s">
        <v>130</v>
      </c>
      <c r="B107" s="37">
        <v>2332</v>
      </c>
      <c r="C107" s="37">
        <v>116</v>
      </c>
      <c r="D107" s="35">
        <f>COUNT($B$6:$B107)/(COUNT(B$6:B$1000)+1)</f>
        <v>0.57627118644067798</v>
      </c>
    </row>
    <row r="108" spans="1:4" x14ac:dyDescent="0.25">
      <c r="A108" s="35" t="s">
        <v>44</v>
      </c>
      <c r="B108" s="37">
        <v>2344</v>
      </c>
      <c r="C108" s="37">
        <v>52</v>
      </c>
      <c r="D108" s="35">
        <f>COUNT($B$6:$B108)/(COUNT(B$6:B$1000)+1)</f>
        <v>0.58192090395480223</v>
      </c>
    </row>
    <row r="109" spans="1:4" x14ac:dyDescent="0.25">
      <c r="A109" s="35" t="s">
        <v>106</v>
      </c>
      <c r="B109" s="37">
        <v>2344</v>
      </c>
      <c r="C109" s="37">
        <v>61</v>
      </c>
      <c r="D109" s="35">
        <f>COUNT($B$6:$B109)/(COUNT(B$6:B$1000)+1)</f>
        <v>0.58757062146892658</v>
      </c>
    </row>
    <row r="110" spans="1:4" x14ac:dyDescent="0.25">
      <c r="A110" s="35" t="s">
        <v>110</v>
      </c>
      <c r="B110" s="37">
        <v>2360</v>
      </c>
      <c r="C110" s="37">
        <v>149</v>
      </c>
      <c r="D110" s="35">
        <f>COUNT($B$6:$B110)/(COUNT(B$6:B$1000)+1)</f>
        <v>0.59322033898305082</v>
      </c>
    </row>
    <row r="111" spans="1:4" x14ac:dyDescent="0.25">
      <c r="A111" s="35" t="s">
        <v>135</v>
      </c>
      <c r="B111" s="37">
        <v>2445</v>
      </c>
      <c r="C111" s="37">
        <v>641</v>
      </c>
      <c r="D111" s="35">
        <f>COUNT($B$6:$B111)/(COUNT(B$6:B$1000)+1)</f>
        <v>0.59887005649717517</v>
      </c>
    </row>
    <row r="112" spans="1:4" x14ac:dyDescent="0.25">
      <c r="A112" s="35" t="s">
        <v>31</v>
      </c>
      <c r="B112" s="37">
        <v>2485</v>
      </c>
      <c r="C112" s="37">
        <v>374</v>
      </c>
      <c r="D112" s="35">
        <f>COUNT($B$6:$B112)/(COUNT(B$6:B$1000)+1)</f>
        <v>0.60451977401129942</v>
      </c>
    </row>
    <row r="113" spans="1:4" x14ac:dyDescent="0.25">
      <c r="A113" s="35" t="s">
        <v>104</v>
      </c>
      <c r="B113" s="37">
        <v>2523</v>
      </c>
      <c r="C113" s="37">
        <v>47</v>
      </c>
      <c r="D113" s="35">
        <f>COUNT($B$6:$B113)/(COUNT(B$6:B$1000)+1)</f>
        <v>0.61016949152542377</v>
      </c>
    </row>
    <row r="114" spans="1:4" x14ac:dyDescent="0.25">
      <c r="A114" s="35" t="s">
        <v>17</v>
      </c>
      <c r="B114" s="37">
        <v>2768</v>
      </c>
      <c r="C114" s="37">
        <v>28</v>
      </c>
      <c r="D114" s="35">
        <f>COUNT($B$6:$B114)/(COUNT(B$6:B$1000)+1)</f>
        <v>0.61581920903954801</v>
      </c>
    </row>
    <row r="115" spans="1:4" x14ac:dyDescent="0.25">
      <c r="A115" s="35" t="s">
        <v>182</v>
      </c>
      <c r="B115" s="37">
        <v>2768</v>
      </c>
      <c r="C115" s="37">
        <v>319</v>
      </c>
      <c r="D115" s="35">
        <f>COUNT($B$6:$B115)/(COUNT(B$6:B$1000)+1)</f>
        <v>0.62146892655367236</v>
      </c>
    </row>
    <row r="116" spans="1:4" x14ac:dyDescent="0.25">
      <c r="A116" s="35" t="s">
        <v>112</v>
      </c>
      <c r="B116" s="37">
        <v>2791</v>
      </c>
      <c r="C116" s="37">
        <v>54</v>
      </c>
      <c r="D116" s="35">
        <f>COUNT($B$6:$B116)/(COUNT(B$6:B$1000)+1)</f>
        <v>0.6271186440677966</v>
      </c>
    </row>
    <row r="117" spans="1:4" x14ac:dyDescent="0.25">
      <c r="A117" s="35" t="s">
        <v>117</v>
      </c>
      <c r="B117" s="37">
        <v>2791</v>
      </c>
      <c r="C117" s="37">
        <v>409</v>
      </c>
      <c r="D117" s="35">
        <f>COUNT($B$6:$B117)/(COUNT(B$6:B$1000)+1)</f>
        <v>0.63276836158192096</v>
      </c>
    </row>
    <row r="118" spans="1:4" x14ac:dyDescent="0.25">
      <c r="A118" s="35" t="s">
        <v>177</v>
      </c>
      <c r="B118" s="37">
        <v>2791</v>
      </c>
      <c r="C118" s="37">
        <v>1176</v>
      </c>
      <c r="D118" s="35">
        <f>COUNT($B$6:$B118)/(COUNT(B$6:B$1000)+1)</f>
        <v>0.6384180790960452</v>
      </c>
    </row>
    <row r="119" spans="1:4" x14ac:dyDescent="0.25">
      <c r="A119" s="35" t="s">
        <v>175</v>
      </c>
      <c r="B119" s="37">
        <v>3140</v>
      </c>
      <c r="C119" s="37">
        <v>967</v>
      </c>
      <c r="D119" s="35">
        <f>COUNT($B$6:$B119)/(COUNT(B$6:B$1000)+1)</f>
        <v>0.64406779661016944</v>
      </c>
    </row>
    <row r="120" spans="1:4" x14ac:dyDescent="0.25">
      <c r="A120" s="35" t="s">
        <v>114</v>
      </c>
      <c r="B120" s="37">
        <v>3162</v>
      </c>
      <c r="C120" s="37">
        <v>290</v>
      </c>
      <c r="D120" s="35">
        <f>COUNT($B$6:$B120)/(COUNT(B$6:B$1000)+1)</f>
        <v>0.64971751412429379</v>
      </c>
    </row>
    <row r="121" spans="1:4" x14ac:dyDescent="0.25">
      <c r="A121" s="35" t="s">
        <v>35</v>
      </c>
      <c r="B121" s="37">
        <v>3341</v>
      </c>
      <c r="C121" s="37">
        <v>199</v>
      </c>
      <c r="D121" s="35">
        <f>COUNT($B$6:$B121)/(COUNT(B$6:B$1000)+1)</f>
        <v>0.65536723163841804</v>
      </c>
    </row>
    <row r="122" spans="1:4" x14ac:dyDescent="0.25">
      <c r="A122" s="35" t="s">
        <v>51</v>
      </c>
      <c r="B122" s="37">
        <v>3341</v>
      </c>
      <c r="C122" s="37">
        <v>109</v>
      </c>
      <c r="D122" s="35">
        <f>COUNT($B$6:$B122)/(COUNT(B$6:B$1000)+1)</f>
        <v>0.66101694915254239</v>
      </c>
    </row>
    <row r="123" spans="1:4" x14ac:dyDescent="0.25">
      <c r="A123" s="35" t="s">
        <v>57</v>
      </c>
      <c r="B123" s="37">
        <v>3341</v>
      </c>
      <c r="C123" s="37">
        <v>966</v>
      </c>
      <c r="D123" s="35">
        <f>COUNT($B$6:$B123)/(COUNT(B$6:B$1000)+1)</f>
        <v>0.66666666666666663</v>
      </c>
    </row>
    <row r="124" spans="1:4" x14ac:dyDescent="0.25">
      <c r="A124" s="35" t="s">
        <v>101</v>
      </c>
      <c r="B124" s="37">
        <v>3341</v>
      </c>
      <c r="C124" s="37">
        <v>231</v>
      </c>
      <c r="D124" s="35">
        <f>COUNT($B$6:$B124)/(COUNT(B$6:B$1000)+1)</f>
        <v>0.67231638418079098</v>
      </c>
    </row>
    <row r="125" spans="1:4" x14ac:dyDescent="0.25">
      <c r="A125" s="35" t="s">
        <v>116</v>
      </c>
      <c r="B125" s="37">
        <v>3341</v>
      </c>
      <c r="C125" s="37">
        <v>341</v>
      </c>
      <c r="D125" s="35">
        <f>COUNT($B$6:$B125)/(COUNT(B$6:B$1000)+1)</f>
        <v>0.67796610169491522</v>
      </c>
    </row>
    <row r="126" spans="1:4" x14ac:dyDescent="0.25">
      <c r="A126" s="35" t="s">
        <v>103</v>
      </c>
      <c r="B126" s="37">
        <v>3489</v>
      </c>
      <c r="C126" s="37">
        <v>823</v>
      </c>
      <c r="D126" s="35">
        <f>COUNT($B$6:$B126)/(COUNT(B$6:B$1000)+1)</f>
        <v>0.68361581920903958</v>
      </c>
    </row>
    <row r="127" spans="1:4" x14ac:dyDescent="0.25">
      <c r="A127" s="35" t="s">
        <v>127</v>
      </c>
      <c r="B127" s="37">
        <v>3489</v>
      </c>
      <c r="C127" s="37">
        <v>180</v>
      </c>
      <c r="D127" s="35">
        <f>COUNT($B$6:$B127)/(COUNT(B$6:B$1000)+1)</f>
        <v>0.68926553672316382</v>
      </c>
    </row>
    <row r="128" spans="1:4" x14ac:dyDescent="0.25">
      <c r="A128" s="35" t="s">
        <v>29</v>
      </c>
      <c r="B128" s="37">
        <v>3972</v>
      </c>
      <c r="C128" s="37">
        <v>985</v>
      </c>
      <c r="D128" s="35">
        <f>COUNT($B$6:$B128)/(COUNT(B$6:B$1000)+1)</f>
        <v>0.69491525423728817</v>
      </c>
    </row>
    <row r="129" spans="1:4" x14ac:dyDescent="0.25">
      <c r="A129" s="35" t="s">
        <v>136</v>
      </c>
      <c r="B129" s="37">
        <v>4400</v>
      </c>
      <c r="C129" s="37">
        <v>2749</v>
      </c>
      <c r="D129" s="35">
        <f>COUNT($B$6:$B129)/(COUNT(B$6:B$1000)+1)</f>
        <v>0.70056497175141241</v>
      </c>
    </row>
    <row r="130" spans="1:4" x14ac:dyDescent="0.25">
      <c r="A130" s="35" t="s">
        <v>154</v>
      </c>
      <c r="B130" s="37">
        <v>4400</v>
      </c>
      <c r="C130" s="37">
        <v>1558</v>
      </c>
      <c r="D130" s="35">
        <f>COUNT($B$6:$B130)/(COUNT(B$6:B$1000)+1)</f>
        <v>0.70621468926553677</v>
      </c>
    </row>
    <row r="131" spans="1:4" x14ac:dyDescent="0.25">
      <c r="A131" s="35" t="s">
        <v>46</v>
      </c>
      <c r="B131" s="37">
        <v>4636</v>
      </c>
      <c r="C131" s="37">
        <v>211</v>
      </c>
      <c r="D131" s="35">
        <f>COUNT($B$6:$B131)/(COUNT(B$6:B$1000)+1)</f>
        <v>0.71186440677966101</v>
      </c>
    </row>
    <row r="132" spans="1:4" x14ac:dyDescent="0.25">
      <c r="A132" s="35" t="s">
        <v>53</v>
      </c>
      <c r="B132" s="37">
        <v>4636</v>
      </c>
      <c r="C132" s="37">
        <v>766</v>
      </c>
      <c r="D132" s="35">
        <f>COUNT($B$6:$B132)/(COUNT(B$6:B$1000)+1)</f>
        <v>0.71751412429378536</v>
      </c>
    </row>
    <row r="133" spans="1:4" x14ac:dyDescent="0.25">
      <c r="A133" s="35" t="s">
        <v>125</v>
      </c>
      <c r="B133" s="37">
        <v>4636</v>
      </c>
      <c r="C133" s="37">
        <v>2277</v>
      </c>
      <c r="D133" s="35">
        <f>COUNT($B$6:$B133)/(COUNT(B$6:B$1000)+1)</f>
        <v>0.7231638418079096</v>
      </c>
    </row>
    <row r="134" spans="1:4" x14ac:dyDescent="0.25">
      <c r="A134" s="35" t="s">
        <v>152</v>
      </c>
      <c r="B134" s="37">
        <v>4636</v>
      </c>
      <c r="C134" s="37">
        <v>908</v>
      </c>
      <c r="D134" s="35">
        <f>COUNT($B$6:$B134)/(COUNT(B$6:B$1000)+1)</f>
        <v>0.72881355932203384</v>
      </c>
    </row>
    <row r="135" spans="1:4" x14ac:dyDescent="0.25">
      <c r="A135" s="35" t="s">
        <v>28</v>
      </c>
      <c r="B135" s="37">
        <v>4713</v>
      </c>
      <c r="C135" s="37">
        <v>246</v>
      </c>
      <c r="D135" s="35">
        <f>COUNT($B$6:$B135)/(COUNT(B$6:B$1000)+1)</f>
        <v>0.7344632768361582</v>
      </c>
    </row>
    <row r="136" spans="1:4" x14ac:dyDescent="0.25">
      <c r="A136" s="35" t="s">
        <v>41</v>
      </c>
      <c r="B136" s="37">
        <v>4713</v>
      </c>
      <c r="C136" s="37">
        <v>83</v>
      </c>
      <c r="D136" s="35">
        <f>COUNT($B$6:$B136)/(COUNT(B$6:B$1000)+1)</f>
        <v>0.74011299435028244</v>
      </c>
    </row>
    <row r="137" spans="1:4" x14ac:dyDescent="0.25">
      <c r="A137" s="35" t="s">
        <v>18</v>
      </c>
      <c r="B137" s="37">
        <v>4953</v>
      </c>
      <c r="C137" s="37">
        <v>924</v>
      </c>
      <c r="D137" s="35">
        <f>COUNT($B$6:$B137)/(COUNT(B$6:B$1000)+1)</f>
        <v>0.74576271186440679</v>
      </c>
    </row>
    <row r="138" spans="1:4" x14ac:dyDescent="0.25">
      <c r="A138" s="35" t="s">
        <v>95</v>
      </c>
      <c r="B138" s="37">
        <v>5057</v>
      </c>
      <c r="C138" s="37">
        <v>68</v>
      </c>
      <c r="D138" s="35">
        <f>COUNT($B$6:$B138)/(COUNT(B$6:B$1000)+1)</f>
        <v>0.75141242937853103</v>
      </c>
    </row>
    <row r="139" spans="1:4" x14ac:dyDescent="0.25">
      <c r="A139" s="35" t="s">
        <v>94</v>
      </c>
      <c r="B139" s="37">
        <v>5120</v>
      </c>
      <c r="C139" s="37">
        <v>124</v>
      </c>
      <c r="D139" s="35">
        <f>COUNT($B$6:$B139)/(COUNT(B$6:B$1000)+1)</f>
        <v>0.75706214689265539</v>
      </c>
    </row>
    <row r="140" spans="1:4" x14ac:dyDescent="0.25">
      <c r="A140" s="35" t="s">
        <v>158</v>
      </c>
      <c r="B140" s="37">
        <v>5120</v>
      </c>
      <c r="C140" s="37">
        <v>1965</v>
      </c>
      <c r="D140" s="35">
        <f>COUNT($B$6:$B140)/(COUNT(B$6:B$1000)+1)</f>
        <v>0.76271186440677963</v>
      </c>
    </row>
    <row r="141" spans="1:4" x14ac:dyDescent="0.25">
      <c r="A141" s="35" t="s">
        <v>49</v>
      </c>
      <c r="B141" s="37">
        <v>5258</v>
      </c>
      <c r="C141" s="37">
        <v>432</v>
      </c>
      <c r="D141" s="35">
        <f>COUNT($B$6:$B141)/(COUNT(B$6:B$1000)+1)</f>
        <v>0.76836158192090398</v>
      </c>
    </row>
    <row r="142" spans="1:4" x14ac:dyDescent="0.25">
      <c r="A142" s="35" t="s">
        <v>88</v>
      </c>
      <c r="B142" s="37">
        <v>5258</v>
      </c>
      <c r="C142" s="37">
        <v>121</v>
      </c>
      <c r="D142" s="35">
        <f>COUNT($B$6:$B142)/(COUNT(B$6:B$1000)+1)</f>
        <v>0.77401129943502822</v>
      </c>
    </row>
    <row r="143" spans="1:4" x14ac:dyDescent="0.25">
      <c r="A143" s="35" t="s">
        <v>176</v>
      </c>
      <c r="B143" s="37">
        <v>5258</v>
      </c>
      <c r="C143" s="37">
        <v>79</v>
      </c>
      <c r="D143" s="35">
        <f>COUNT($B$6:$B143)/(COUNT(B$6:B$1000)+1)</f>
        <v>0.77966101694915257</v>
      </c>
    </row>
    <row r="144" spans="1:4" x14ac:dyDescent="0.25">
      <c r="A144" s="35" t="s">
        <v>109</v>
      </c>
      <c r="B144" s="37">
        <v>5720</v>
      </c>
      <c r="C144" s="37">
        <v>1172</v>
      </c>
      <c r="D144" s="35">
        <f>COUNT($B$6:$B144)/(COUNT(B$6:B$1000)+1)</f>
        <v>0.78531073446327682</v>
      </c>
    </row>
    <row r="145" spans="1:4" x14ac:dyDescent="0.25">
      <c r="A145" s="35" t="s">
        <v>33</v>
      </c>
      <c r="B145" s="37">
        <v>6468</v>
      </c>
      <c r="C145" s="37">
        <v>1598</v>
      </c>
      <c r="D145" s="35">
        <f>COUNT($B$6:$B145)/(COUNT(B$6:B$1000)+1)</f>
        <v>0.79096045197740117</v>
      </c>
    </row>
    <row r="146" spans="1:4" x14ac:dyDescent="0.25">
      <c r="A146" s="35" t="s">
        <v>102</v>
      </c>
      <c r="B146" s="37">
        <v>6468</v>
      </c>
      <c r="C146" s="37">
        <v>390</v>
      </c>
      <c r="D146" s="35">
        <f>COUNT($B$6:$B146)/(COUNT(B$6:B$1000)+1)</f>
        <v>0.79661016949152541</v>
      </c>
    </row>
    <row r="147" spans="1:4" x14ac:dyDescent="0.25">
      <c r="A147" s="35" t="s">
        <v>126</v>
      </c>
      <c r="B147" s="37">
        <v>6468</v>
      </c>
      <c r="C147" s="37">
        <v>77</v>
      </c>
      <c r="D147" s="35">
        <f>COUNT($B$6:$B147)/(COUNT(B$6:B$1000)+1)</f>
        <v>0.80225988700564976</v>
      </c>
    </row>
    <row r="148" spans="1:4" x14ac:dyDescent="0.25">
      <c r="A148" s="35" t="s">
        <v>165</v>
      </c>
      <c r="B148" s="37">
        <v>6468</v>
      </c>
      <c r="C148" s="37">
        <v>161</v>
      </c>
      <c r="D148" s="35">
        <f>COUNT($B$6:$B148)/(COUNT(B$6:B$1000)+1)</f>
        <v>0.80790960451977401</v>
      </c>
    </row>
    <row r="149" spans="1:4" x14ac:dyDescent="0.25">
      <c r="A149" s="35" t="s">
        <v>3</v>
      </c>
      <c r="B149" s="37">
        <v>6492</v>
      </c>
      <c r="C149" s="37">
        <v>802</v>
      </c>
      <c r="D149" s="35">
        <f>COUNT($B$6:$B149)/(COUNT(B$6:B$1000)+1)</f>
        <v>0.81355932203389836</v>
      </c>
    </row>
    <row r="150" spans="1:4" x14ac:dyDescent="0.25">
      <c r="A150" s="35" t="s">
        <v>37</v>
      </c>
      <c r="B150" s="37">
        <v>6492</v>
      </c>
      <c r="C150" s="37">
        <v>1040</v>
      </c>
      <c r="D150" s="35">
        <f>COUNT($B$6:$B150)/(COUNT(B$6:B$1000)+1)</f>
        <v>0.8192090395480226</v>
      </c>
    </row>
    <row r="151" spans="1:4" x14ac:dyDescent="0.25">
      <c r="A151" s="35" t="s">
        <v>129</v>
      </c>
      <c r="B151" s="37">
        <v>6492</v>
      </c>
      <c r="C151" s="37">
        <v>518</v>
      </c>
      <c r="D151" s="35">
        <f>COUNT($B$6:$B151)/(COUNT(B$6:B$1000)+1)</f>
        <v>0.82485875706214684</v>
      </c>
    </row>
    <row r="152" spans="1:4" x14ac:dyDescent="0.25">
      <c r="A152" s="35" t="s">
        <v>143</v>
      </c>
      <c r="B152" s="37">
        <v>6492</v>
      </c>
      <c r="C152" s="37">
        <v>1503</v>
      </c>
      <c r="D152" s="35">
        <f>COUNT($B$6:$B152)/(COUNT(B$6:B$1000)+1)</f>
        <v>0.83050847457627119</v>
      </c>
    </row>
    <row r="153" spans="1:4" x14ac:dyDescent="0.25">
      <c r="A153" s="35" t="s">
        <v>145</v>
      </c>
      <c r="B153" s="37">
        <v>6492</v>
      </c>
      <c r="C153" s="37">
        <v>221</v>
      </c>
      <c r="D153" s="35">
        <f>COUNT($B$6:$B153)/(COUNT(B$6:B$1000)+1)</f>
        <v>0.83615819209039544</v>
      </c>
    </row>
    <row r="154" spans="1:4" x14ac:dyDescent="0.25">
      <c r="A154" s="35" t="s">
        <v>167</v>
      </c>
      <c r="B154" s="37">
        <v>6492</v>
      </c>
      <c r="C154" s="37">
        <v>480</v>
      </c>
      <c r="D154" s="35">
        <f>COUNT($B$6:$B154)/(COUNT(B$6:B$1000)+1)</f>
        <v>0.84180790960451979</v>
      </c>
    </row>
    <row r="155" spans="1:4" x14ac:dyDescent="0.25">
      <c r="A155" s="35" t="s">
        <v>173</v>
      </c>
      <c r="B155" s="37">
        <v>6492</v>
      </c>
      <c r="C155" s="37">
        <v>2326</v>
      </c>
      <c r="D155" s="35">
        <f>COUNT($B$6:$B155)/(COUNT(B$6:B$1000)+1)</f>
        <v>0.84745762711864403</v>
      </c>
    </row>
    <row r="156" spans="1:4" x14ac:dyDescent="0.25">
      <c r="A156" s="35" t="s">
        <v>54</v>
      </c>
      <c r="B156" s="37">
        <v>7010</v>
      </c>
      <c r="C156" s="37">
        <v>529</v>
      </c>
      <c r="D156" s="35">
        <f>COUNT($B$6:$B156)/(COUNT(B$6:B$1000)+1)</f>
        <v>0.85310734463276838</v>
      </c>
    </row>
    <row r="157" spans="1:4" x14ac:dyDescent="0.25">
      <c r="A157" s="35" t="s">
        <v>113</v>
      </c>
      <c r="B157" s="37">
        <v>7010</v>
      </c>
      <c r="C157" s="37">
        <v>2365</v>
      </c>
      <c r="D157" s="35">
        <f>COUNT($B$6:$B157)/(COUNT(B$6:B$1000)+1)</f>
        <v>0.85875706214689262</v>
      </c>
    </row>
    <row r="158" spans="1:4" x14ac:dyDescent="0.25">
      <c r="A158" s="35" t="s">
        <v>162</v>
      </c>
      <c r="B158" s="37">
        <v>7010</v>
      </c>
      <c r="C158" s="37">
        <v>2224</v>
      </c>
      <c r="D158" s="35">
        <f>COUNT($B$6:$B158)/(COUNT(B$6:B$1000)+1)</f>
        <v>0.86440677966101698</v>
      </c>
    </row>
    <row r="159" spans="1:4" x14ac:dyDescent="0.25">
      <c r="A159" s="35" t="s">
        <v>25</v>
      </c>
      <c r="B159" s="37">
        <v>7340</v>
      </c>
      <c r="C159" s="37">
        <v>272</v>
      </c>
      <c r="D159" s="35">
        <f>COUNT($B$6:$B159)/(COUNT(B$6:B$1000)+1)</f>
        <v>0.87005649717514122</v>
      </c>
    </row>
    <row r="160" spans="1:4" x14ac:dyDescent="0.25">
      <c r="A160" s="35" t="s">
        <v>63</v>
      </c>
      <c r="B160" s="37">
        <v>7340</v>
      </c>
      <c r="C160" s="37">
        <v>272</v>
      </c>
      <c r="D160" s="35">
        <f>COUNT($B$6:$B160)/(COUNT(B$6:B$1000)+1)</f>
        <v>0.87570621468926557</v>
      </c>
    </row>
    <row r="161" spans="1:4" x14ac:dyDescent="0.25">
      <c r="A161" s="35" t="s">
        <v>79</v>
      </c>
      <c r="B161" s="37">
        <v>7340</v>
      </c>
      <c r="C161" s="37">
        <v>1251</v>
      </c>
      <c r="D161" s="35">
        <f>COUNT($B$6:$B161)/(COUNT(B$6:B$1000)+1)</f>
        <v>0.88135593220338981</v>
      </c>
    </row>
    <row r="162" spans="1:4" x14ac:dyDescent="0.25">
      <c r="A162" s="35" t="s">
        <v>81</v>
      </c>
      <c r="B162" s="37">
        <v>7370</v>
      </c>
      <c r="C162" s="37">
        <v>1628</v>
      </c>
      <c r="D162" s="35">
        <f>COUNT($B$6:$B162)/(COUNT(B$6:B$1000)+1)</f>
        <v>0.88700564971751417</v>
      </c>
    </row>
    <row r="163" spans="1:4" x14ac:dyDescent="0.25">
      <c r="A163" s="35" t="s">
        <v>36</v>
      </c>
      <c r="B163" s="37">
        <v>9180</v>
      </c>
      <c r="C163" s="37">
        <v>2816</v>
      </c>
      <c r="D163" s="35">
        <f>COUNT($B$6:$B163)/(COUNT(B$6:B$1000)+1)</f>
        <v>0.89265536723163841</v>
      </c>
    </row>
    <row r="164" spans="1:4" x14ac:dyDescent="0.25">
      <c r="A164" s="35" t="s">
        <v>171</v>
      </c>
      <c r="B164" s="37">
        <v>9180</v>
      </c>
      <c r="C164" s="37">
        <v>1920</v>
      </c>
      <c r="D164" s="35">
        <f>COUNT($B$6:$B164)/(COUNT(B$6:B$1000)+1)</f>
        <v>0.89830508474576276</v>
      </c>
    </row>
    <row r="165" spans="1:4" x14ac:dyDescent="0.25">
      <c r="A165" s="35" t="s">
        <v>131</v>
      </c>
      <c r="B165" s="37">
        <v>9790</v>
      </c>
      <c r="C165" s="37">
        <v>231</v>
      </c>
      <c r="D165" s="35">
        <f>COUNT($B$6:$B165)/(COUNT(B$6:B$1000)+1)</f>
        <v>0.903954802259887</v>
      </c>
    </row>
    <row r="166" spans="1:4" x14ac:dyDescent="0.25">
      <c r="A166" s="35" t="s">
        <v>168</v>
      </c>
      <c r="B166" s="37">
        <v>9790</v>
      </c>
      <c r="C166" s="37">
        <v>83</v>
      </c>
      <c r="D166" s="35">
        <f>COUNT($B$6:$B166)/(COUNT(B$6:B$1000)+1)</f>
        <v>0.90960451977401124</v>
      </c>
    </row>
    <row r="167" spans="1:4" x14ac:dyDescent="0.25">
      <c r="A167" s="35" t="s">
        <v>172</v>
      </c>
      <c r="B167" s="37">
        <v>9790</v>
      </c>
      <c r="C167" s="37">
        <v>580</v>
      </c>
      <c r="D167" s="35">
        <f>COUNT($B$6:$B167)/(COUNT(B$6:B$1000)+1)</f>
        <v>0.9152542372881356</v>
      </c>
    </row>
    <row r="168" spans="1:4" x14ac:dyDescent="0.25">
      <c r="A168" s="35" t="s">
        <v>77</v>
      </c>
      <c r="B168" s="37">
        <v>10235</v>
      </c>
      <c r="C168" s="37">
        <v>865</v>
      </c>
      <c r="D168" s="35">
        <f>COUNT($B$6:$B168)/(COUNT(B$6:B$1000)+1)</f>
        <v>0.92090395480225984</v>
      </c>
    </row>
    <row r="169" spans="1:4" x14ac:dyDescent="0.25">
      <c r="A169" s="35" t="s">
        <v>71</v>
      </c>
      <c r="B169" s="37">
        <v>10350</v>
      </c>
      <c r="C169" s="37">
        <v>317</v>
      </c>
      <c r="D169" s="35">
        <f>COUNT($B$6:$B169)/(COUNT(B$6:B$1000)+1)</f>
        <v>0.92655367231638419</v>
      </c>
    </row>
    <row r="170" spans="1:4" x14ac:dyDescent="0.25">
      <c r="A170" s="35" t="s">
        <v>45</v>
      </c>
      <c r="B170" s="37">
        <v>11227</v>
      </c>
      <c r="C170" s="37">
        <v>599</v>
      </c>
      <c r="D170" s="35">
        <f>COUNT($B$6:$B170)/(COUNT(B$6:B$1000)+1)</f>
        <v>0.93220338983050843</v>
      </c>
    </row>
    <row r="171" spans="1:4" x14ac:dyDescent="0.25">
      <c r="A171" s="35" t="s">
        <v>48</v>
      </c>
      <c r="B171" s="37">
        <v>11227</v>
      </c>
      <c r="C171" s="37">
        <v>761</v>
      </c>
      <c r="D171" s="35">
        <f>COUNT($B$6:$B171)/(COUNT(B$6:B$1000)+1)</f>
        <v>0.93785310734463279</v>
      </c>
    </row>
    <row r="172" spans="1:4" x14ac:dyDescent="0.25">
      <c r="A172" s="35" t="s">
        <v>82</v>
      </c>
      <c r="B172" s="37">
        <v>11227</v>
      </c>
      <c r="C172" s="37">
        <v>615</v>
      </c>
      <c r="D172" s="35">
        <f>COUNT($B$6:$B172)/(COUNT(B$6:B$1000)+1)</f>
        <v>0.94350282485875703</v>
      </c>
    </row>
    <row r="173" spans="1:4" x14ac:dyDescent="0.25">
      <c r="A173" s="35" t="s">
        <v>138</v>
      </c>
      <c r="B173" s="37">
        <v>11227</v>
      </c>
      <c r="C173" s="37">
        <v>46</v>
      </c>
      <c r="D173" s="35">
        <f>COUNT($B$6:$B173)/(COUNT(B$6:B$1000)+1)</f>
        <v>0.94915254237288138</v>
      </c>
    </row>
    <row r="174" spans="1:4" x14ac:dyDescent="0.25">
      <c r="A174" s="35" t="s">
        <v>157</v>
      </c>
      <c r="B174" s="37">
        <v>11227</v>
      </c>
      <c r="C174" s="37">
        <v>365</v>
      </c>
      <c r="D174" s="35">
        <f>COUNT($B$6:$B174)/(COUNT(B$6:B$1000)+1)</f>
        <v>0.95480225988700562</v>
      </c>
    </row>
    <row r="175" spans="1:4" x14ac:dyDescent="0.25">
      <c r="A175" s="35" t="s">
        <v>55</v>
      </c>
      <c r="B175" s="37">
        <v>11310</v>
      </c>
      <c r="C175" s="37">
        <v>377</v>
      </c>
      <c r="D175" s="35">
        <f>COUNT($B$6:$B175)/(COUNT(B$6:B$1000)+1)</f>
        <v>0.96045197740112997</v>
      </c>
    </row>
    <row r="176" spans="1:4" x14ac:dyDescent="0.25">
      <c r="A176" s="35" t="s">
        <v>0</v>
      </c>
      <c r="B176" s="37">
        <v>11646</v>
      </c>
      <c r="C176" s="37">
        <v>253</v>
      </c>
      <c r="D176" s="35">
        <f>COUNT($B$6:$B176)/(COUNT(B$6:B$1000)+1)</f>
        <v>0.96610169491525422</v>
      </c>
    </row>
    <row r="177" spans="1:4" x14ac:dyDescent="0.25">
      <c r="A177" s="35" t="s">
        <v>20</v>
      </c>
      <c r="B177" s="37">
        <v>11646</v>
      </c>
      <c r="C177" s="37">
        <v>278</v>
      </c>
      <c r="D177" s="35">
        <f>COUNT($B$6:$B177)/(COUNT(B$6:B$1000)+1)</f>
        <v>0.97175141242937857</v>
      </c>
    </row>
    <row r="178" spans="1:4" x14ac:dyDescent="0.25">
      <c r="A178" s="35" t="s">
        <v>38</v>
      </c>
      <c r="B178" s="37">
        <v>11646</v>
      </c>
      <c r="C178" s="37">
        <v>92</v>
      </c>
      <c r="D178" s="35">
        <f>COUNT($B$6:$B178)/(COUNT(B$6:B$1000)+1)</f>
        <v>0.97740112994350281</v>
      </c>
    </row>
    <row r="179" spans="1:4" x14ac:dyDescent="0.25">
      <c r="A179" s="35" t="s">
        <v>40</v>
      </c>
      <c r="B179" s="37">
        <v>11646</v>
      </c>
      <c r="C179" s="37">
        <v>178</v>
      </c>
      <c r="D179" s="35">
        <f>COUNT($B$6:$B179)/(COUNT(B$6:B$1000)+1)</f>
        <v>0.98305084745762716</v>
      </c>
    </row>
    <row r="180" spans="1:4" x14ac:dyDescent="0.25">
      <c r="A180" s="35" t="s">
        <v>76</v>
      </c>
      <c r="B180" s="37">
        <v>11646</v>
      </c>
      <c r="C180" s="37">
        <v>553</v>
      </c>
      <c r="D180" s="35">
        <f>COUNT($B$6:$B180)/(COUNT(B$6:B$1000)+1)</f>
        <v>0.98870056497175141</v>
      </c>
    </row>
    <row r="181" spans="1:4" x14ac:dyDescent="0.25">
      <c r="A181" s="35" t="s">
        <v>144</v>
      </c>
      <c r="B181" s="37">
        <v>11646</v>
      </c>
      <c r="C181" s="37">
        <v>74</v>
      </c>
      <c r="D181" s="35">
        <f>COUNT($B$6:$B181)/(COUNT(B$6:B$1000)+1)</f>
        <v>0.99435028248587576</v>
      </c>
    </row>
    <row r="182" spans="1:4" x14ac:dyDescent="0.25">
      <c r="A182" s="35"/>
      <c r="B182" s="35"/>
      <c r="C182" s="37"/>
      <c r="D182" s="35"/>
    </row>
    <row r="183" spans="1:4" x14ac:dyDescent="0.25">
      <c r="A183" s="35"/>
      <c r="B183" s="35"/>
      <c r="C183" s="37"/>
      <c r="D183" s="35"/>
    </row>
    <row r="184" spans="1:4" x14ac:dyDescent="0.25">
      <c r="A184" s="35"/>
      <c r="B184" s="35"/>
      <c r="C184" s="37"/>
      <c r="D184" s="35"/>
    </row>
    <row r="185" spans="1:4" x14ac:dyDescent="0.25">
      <c r="A185" s="35"/>
      <c r="B185" s="35"/>
      <c r="C185" s="37"/>
      <c r="D185" s="35"/>
    </row>
    <row r="186" spans="1:4" x14ac:dyDescent="0.25">
      <c r="A186" s="35"/>
      <c r="B186" s="35"/>
      <c r="C186" s="37"/>
      <c r="D186" s="35"/>
    </row>
    <row r="187" spans="1:4" x14ac:dyDescent="0.25">
      <c r="A187" s="35"/>
      <c r="B187" s="35"/>
      <c r="C187" s="37"/>
      <c r="D187" s="35"/>
    </row>
    <row r="188" spans="1:4" x14ac:dyDescent="0.25">
      <c r="A188" s="35"/>
      <c r="B188" s="35"/>
      <c r="C188" s="37"/>
      <c r="D188" s="35"/>
    </row>
    <row r="189" spans="1:4" x14ac:dyDescent="0.25">
      <c r="A189" s="35"/>
      <c r="B189" s="35"/>
      <c r="C189" s="37"/>
      <c r="D189" s="35"/>
    </row>
    <row r="190" spans="1:4" x14ac:dyDescent="0.25">
      <c r="A190" s="35"/>
      <c r="B190" s="35"/>
      <c r="C190" s="37"/>
      <c r="D190" s="35"/>
    </row>
    <row r="191" spans="1:4" x14ac:dyDescent="0.25">
      <c r="A191" s="35"/>
      <c r="B191" s="35"/>
      <c r="C191" s="37"/>
      <c r="D191" s="35"/>
    </row>
    <row r="192" spans="1:4" x14ac:dyDescent="0.25">
      <c r="A192" s="35"/>
      <c r="B192" s="35"/>
      <c r="C192" s="35"/>
      <c r="D192" s="35"/>
    </row>
    <row r="193" spans="1:4" x14ac:dyDescent="0.25">
      <c r="A193" s="35"/>
      <c r="B193" s="35"/>
      <c r="C193" s="35"/>
      <c r="D193" s="35"/>
    </row>
    <row r="194" spans="1:4" x14ac:dyDescent="0.25">
      <c r="A194" s="35"/>
      <c r="B194" s="35"/>
      <c r="C194" s="35"/>
      <c r="D194" s="35"/>
    </row>
    <row r="195" spans="1:4" x14ac:dyDescent="0.25">
      <c r="A195" s="35"/>
      <c r="B195" s="35"/>
      <c r="C195" s="35"/>
      <c r="D195" s="35"/>
    </row>
    <row r="196" spans="1:4" x14ac:dyDescent="0.25">
      <c r="A196" s="35"/>
      <c r="B196" s="35"/>
      <c r="C196" s="35"/>
      <c r="D196" s="35"/>
    </row>
    <row r="197" spans="1:4" x14ac:dyDescent="0.25">
      <c r="A197" s="35"/>
      <c r="B197" s="35"/>
      <c r="C197" s="35"/>
      <c r="D197" s="35"/>
    </row>
    <row r="198" spans="1:4" x14ac:dyDescent="0.25">
      <c r="A198" s="35"/>
      <c r="B198" s="35"/>
      <c r="C198" s="35"/>
      <c r="D198" s="35"/>
    </row>
    <row r="199" spans="1:4" x14ac:dyDescent="0.25">
      <c r="A199" s="35"/>
      <c r="B199" s="35"/>
      <c r="C199" s="35"/>
      <c r="D199" s="35"/>
    </row>
    <row r="200" spans="1:4" x14ac:dyDescent="0.25">
      <c r="A200" s="35"/>
      <c r="B200" s="35"/>
      <c r="C200" s="35"/>
      <c r="D200" s="35"/>
    </row>
    <row r="201" spans="1:4" x14ac:dyDescent="0.25">
      <c r="A201" s="35"/>
      <c r="B201" s="35"/>
      <c r="C201" s="35"/>
      <c r="D201" s="35"/>
    </row>
    <row r="202" spans="1:4" x14ac:dyDescent="0.25">
      <c r="A202" s="35"/>
      <c r="B202" s="35"/>
      <c r="C202" s="35"/>
      <c r="D202" s="35"/>
    </row>
    <row r="203" spans="1:4" x14ac:dyDescent="0.25">
      <c r="A203" s="35"/>
      <c r="B203" s="35"/>
      <c r="C203" s="35"/>
      <c r="D203" s="35"/>
    </row>
    <row r="204" spans="1:4" x14ac:dyDescent="0.25">
      <c r="A204" s="35"/>
      <c r="B204" s="35"/>
      <c r="C204" s="35"/>
      <c r="D204" s="35"/>
    </row>
    <row r="205" spans="1:4" x14ac:dyDescent="0.25">
      <c r="A205" s="35"/>
      <c r="B205" s="35"/>
      <c r="C205" s="35"/>
      <c r="D205" s="35"/>
    </row>
    <row r="206" spans="1:4" x14ac:dyDescent="0.25">
      <c r="A206" s="35"/>
      <c r="B206" s="35"/>
      <c r="C206" s="35"/>
      <c r="D206" s="35"/>
    </row>
    <row r="207" spans="1:4" x14ac:dyDescent="0.25">
      <c r="A207" s="35"/>
      <c r="B207" s="35"/>
      <c r="C207" s="35"/>
      <c r="D207" s="35"/>
    </row>
    <row r="208" spans="1:4" x14ac:dyDescent="0.25">
      <c r="A208" s="35"/>
      <c r="B208" s="35"/>
      <c r="C208" s="35"/>
      <c r="D208" s="35"/>
    </row>
    <row r="209" spans="1:4" x14ac:dyDescent="0.25">
      <c r="A209" s="35"/>
      <c r="B209" s="35"/>
      <c r="C209" s="35"/>
      <c r="D209" s="35"/>
    </row>
    <row r="210" spans="1:4" x14ac:dyDescent="0.25">
      <c r="A210" s="35"/>
      <c r="B210" s="35"/>
      <c r="C210" s="35"/>
      <c r="D210" s="35"/>
    </row>
    <row r="211" spans="1:4" x14ac:dyDescent="0.25">
      <c r="A211" s="35"/>
      <c r="B211" s="35"/>
      <c r="C211" s="35"/>
      <c r="D211" s="35"/>
    </row>
    <row r="212" spans="1:4" x14ac:dyDescent="0.25">
      <c r="A212" s="35"/>
      <c r="B212" s="35"/>
      <c r="C212" s="35"/>
      <c r="D212" s="35"/>
    </row>
    <row r="213" spans="1:4" x14ac:dyDescent="0.25">
      <c r="A213" s="35"/>
      <c r="B213" s="35"/>
      <c r="C213" s="35"/>
      <c r="D213" s="35"/>
    </row>
    <row r="214" spans="1:4" x14ac:dyDescent="0.25">
      <c r="A214" s="35"/>
      <c r="B214" s="35"/>
      <c r="C214" s="35"/>
      <c r="D214" s="35"/>
    </row>
    <row r="215" spans="1:4" x14ac:dyDescent="0.25">
      <c r="A215" s="35"/>
      <c r="B215" s="35"/>
      <c r="C215" s="35"/>
      <c r="D215" s="35"/>
    </row>
    <row r="216" spans="1:4" x14ac:dyDescent="0.25">
      <c r="A216" s="35"/>
      <c r="B216" s="35"/>
      <c r="C216" s="35"/>
      <c r="D216" s="35"/>
    </row>
    <row r="217" spans="1:4" x14ac:dyDescent="0.25">
      <c r="A217" s="35"/>
      <c r="B217" s="35"/>
      <c r="C217" s="35"/>
      <c r="D217" s="35"/>
    </row>
    <row r="218" spans="1:4" x14ac:dyDescent="0.25">
      <c r="A218" s="35"/>
      <c r="B218" s="35"/>
      <c r="C218" s="35"/>
      <c r="D218" s="35"/>
    </row>
    <row r="219" spans="1:4" x14ac:dyDescent="0.25">
      <c r="A219" s="35"/>
      <c r="B219" s="35"/>
      <c r="C219" s="35"/>
      <c r="D219" s="35"/>
    </row>
    <row r="220" spans="1:4" x14ac:dyDescent="0.25">
      <c r="A220" s="35"/>
      <c r="B220" s="35"/>
      <c r="C220" s="35"/>
      <c r="D220" s="35"/>
    </row>
    <row r="221" spans="1:4" x14ac:dyDescent="0.25">
      <c r="A221" s="35"/>
      <c r="B221" s="35"/>
      <c r="C221" s="35"/>
      <c r="D221" s="35"/>
    </row>
    <row r="222" spans="1:4" x14ac:dyDescent="0.25">
      <c r="A222" s="35"/>
      <c r="B222" s="35"/>
      <c r="C222" s="35"/>
      <c r="D222" s="35"/>
    </row>
    <row r="223" spans="1:4" x14ac:dyDescent="0.25">
      <c r="A223" s="35"/>
      <c r="B223" s="35"/>
      <c r="C223" s="35"/>
      <c r="D223" s="35"/>
    </row>
    <row r="224" spans="1:4" x14ac:dyDescent="0.25">
      <c r="A224" s="35"/>
      <c r="B224" s="35"/>
      <c r="C224" s="35"/>
      <c r="D224" s="35"/>
    </row>
    <row r="225" spans="1:4" x14ac:dyDescent="0.25">
      <c r="A225" s="35"/>
      <c r="B225" s="35"/>
      <c r="C225" s="35"/>
      <c r="D225" s="35"/>
    </row>
    <row r="226" spans="1:4" x14ac:dyDescent="0.25">
      <c r="A226" s="35"/>
      <c r="B226" s="35"/>
      <c r="C226" s="35"/>
      <c r="D226" s="35"/>
    </row>
    <row r="227" spans="1:4" x14ac:dyDescent="0.25">
      <c r="A227" s="35"/>
      <c r="B227" s="35"/>
      <c r="C227" s="35"/>
      <c r="D227" s="35"/>
    </row>
    <row r="228" spans="1:4" x14ac:dyDescent="0.25">
      <c r="A228" s="35"/>
      <c r="B228" s="35"/>
      <c r="C228" s="35"/>
      <c r="D228" s="35"/>
    </row>
    <row r="229" spans="1:4" x14ac:dyDescent="0.25">
      <c r="A229" s="35"/>
      <c r="B229" s="35"/>
      <c r="C229" s="35"/>
      <c r="D229" s="35"/>
    </row>
    <row r="230" spans="1:4" x14ac:dyDescent="0.25">
      <c r="A230" s="35"/>
      <c r="B230" s="35"/>
      <c r="C230" s="35"/>
      <c r="D230" s="35"/>
    </row>
    <row r="231" spans="1:4" x14ac:dyDescent="0.25">
      <c r="A231" s="35"/>
      <c r="B231" s="35"/>
      <c r="C231" s="35"/>
      <c r="D231" s="35"/>
    </row>
    <row r="232" spans="1:4" x14ac:dyDescent="0.25">
      <c r="A232" s="35"/>
      <c r="B232" s="35"/>
      <c r="C232" s="35"/>
      <c r="D232" s="35"/>
    </row>
    <row r="233" spans="1:4" x14ac:dyDescent="0.25">
      <c r="A233" s="35"/>
      <c r="B233" s="35"/>
      <c r="C233" s="35"/>
      <c r="D233" s="35"/>
    </row>
    <row r="234" spans="1:4" x14ac:dyDescent="0.25">
      <c r="A234" s="35"/>
      <c r="B234" s="35"/>
      <c r="C234" s="35"/>
      <c r="D234" s="35"/>
    </row>
    <row r="235" spans="1:4" x14ac:dyDescent="0.25">
      <c r="A235" s="35"/>
      <c r="B235" s="35"/>
      <c r="C235" s="35"/>
      <c r="D235" s="35"/>
    </row>
    <row r="236" spans="1:4" x14ac:dyDescent="0.25">
      <c r="A236" s="35"/>
      <c r="B236" s="35"/>
      <c r="C236" s="35"/>
      <c r="D236" s="35"/>
    </row>
    <row r="237" spans="1:4" x14ac:dyDescent="0.25">
      <c r="A237" s="35"/>
      <c r="B237" s="35"/>
      <c r="C237" s="35"/>
      <c r="D237" s="35"/>
    </row>
    <row r="238" spans="1:4" x14ac:dyDescent="0.25">
      <c r="A238" s="35"/>
      <c r="B238" s="35"/>
      <c r="C238" s="35"/>
      <c r="D238" s="35"/>
    </row>
    <row r="239" spans="1:4" x14ac:dyDescent="0.25">
      <c r="A239" s="35"/>
      <c r="B239" s="35"/>
      <c r="C239" s="35"/>
      <c r="D239" s="35"/>
    </row>
    <row r="240" spans="1:4" x14ac:dyDescent="0.25">
      <c r="A240" s="35"/>
      <c r="B240" s="35"/>
      <c r="C240" s="35"/>
      <c r="D240" s="35"/>
    </row>
    <row r="241" spans="1:4" x14ac:dyDescent="0.25">
      <c r="A241" s="35"/>
      <c r="B241" s="35"/>
      <c r="C241" s="35"/>
      <c r="D241" s="35"/>
    </row>
    <row r="242" spans="1:4" x14ac:dyDescent="0.25">
      <c r="A242" s="35"/>
      <c r="B242" s="35"/>
      <c r="C242" s="35"/>
      <c r="D242" s="35"/>
    </row>
    <row r="243" spans="1:4" x14ac:dyDescent="0.25">
      <c r="A243" s="35"/>
      <c r="B243" s="35"/>
      <c r="C243" s="35"/>
      <c r="D243" s="35"/>
    </row>
    <row r="244" spans="1:4" x14ac:dyDescent="0.25">
      <c r="A244" s="35"/>
      <c r="B244" s="35"/>
      <c r="C244" s="35"/>
      <c r="D244" s="35"/>
    </row>
    <row r="245" spans="1:4" x14ac:dyDescent="0.25">
      <c r="A245" s="35"/>
      <c r="B245" s="35"/>
      <c r="C245" s="35"/>
      <c r="D245" s="35"/>
    </row>
    <row r="246" spans="1:4" x14ac:dyDescent="0.25">
      <c r="A246" s="35"/>
      <c r="B246" s="35"/>
      <c r="C246" s="35"/>
      <c r="D246" s="35"/>
    </row>
    <row r="247" spans="1:4" x14ac:dyDescent="0.25">
      <c r="A247" s="35"/>
      <c r="B247" s="35"/>
      <c r="C247" s="35"/>
      <c r="D247" s="35"/>
    </row>
    <row r="248" spans="1:4" x14ac:dyDescent="0.25">
      <c r="A248" s="35"/>
      <c r="B248" s="35"/>
      <c r="C248" s="35"/>
      <c r="D248" s="35"/>
    </row>
    <row r="249" spans="1:4" x14ac:dyDescent="0.25">
      <c r="A249" s="35"/>
      <c r="B249" s="35"/>
      <c r="C249" s="35"/>
      <c r="D249" s="35"/>
    </row>
    <row r="250" spans="1:4" x14ac:dyDescent="0.25">
      <c r="A250" s="35"/>
      <c r="B250" s="35"/>
      <c r="C250" s="35"/>
      <c r="D250" s="35"/>
    </row>
    <row r="251" spans="1:4" x14ac:dyDescent="0.25">
      <c r="A251" s="35"/>
      <c r="B251" s="35"/>
      <c r="C251" s="35"/>
      <c r="D251" s="35"/>
    </row>
    <row r="252" spans="1:4" x14ac:dyDescent="0.25">
      <c r="A252" s="35"/>
      <c r="B252" s="35"/>
      <c r="C252" s="35"/>
      <c r="D252" s="35"/>
    </row>
    <row r="253" spans="1:4" x14ac:dyDescent="0.25">
      <c r="A253" s="35"/>
      <c r="B253" s="35"/>
      <c r="C253" s="35"/>
      <c r="D253" s="35"/>
    </row>
    <row r="254" spans="1:4" x14ac:dyDescent="0.25">
      <c r="A254" s="35"/>
      <c r="B254" s="35"/>
      <c r="C254" s="35"/>
      <c r="D254" s="35"/>
    </row>
    <row r="255" spans="1:4" x14ac:dyDescent="0.25">
      <c r="A255" s="35"/>
      <c r="B255" s="35"/>
      <c r="C255" s="35"/>
      <c r="D255" s="35"/>
    </row>
    <row r="256" spans="1:4" x14ac:dyDescent="0.25">
      <c r="A256" s="35"/>
      <c r="B256" s="35"/>
      <c r="C256" s="35"/>
      <c r="D256" s="35"/>
    </row>
    <row r="257" spans="1:4" x14ac:dyDescent="0.25">
      <c r="A257" s="35"/>
      <c r="B257" s="35"/>
      <c r="C257" s="35"/>
      <c r="D257" s="35"/>
    </row>
    <row r="258" spans="1:4" x14ac:dyDescent="0.25">
      <c r="A258" s="35"/>
      <c r="B258" s="35"/>
      <c r="C258" s="35"/>
      <c r="D258" s="35"/>
    </row>
    <row r="259" spans="1:4" x14ac:dyDescent="0.25">
      <c r="A259" s="35"/>
      <c r="B259" s="35"/>
      <c r="C259" s="35"/>
      <c r="D259" s="35"/>
    </row>
    <row r="260" spans="1:4" x14ac:dyDescent="0.25">
      <c r="A260" s="35"/>
      <c r="B260" s="35"/>
      <c r="C260" s="35"/>
      <c r="D260" s="35"/>
    </row>
    <row r="261" spans="1:4" x14ac:dyDescent="0.25">
      <c r="A261" s="35"/>
      <c r="B261" s="35"/>
      <c r="C261" s="35"/>
      <c r="D261" s="35"/>
    </row>
    <row r="262" spans="1:4" x14ac:dyDescent="0.25">
      <c r="A262" s="35"/>
      <c r="B262" s="35"/>
      <c r="C262" s="35"/>
      <c r="D262" s="35"/>
    </row>
    <row r="263" spans="1:4" x14ac:dyDescent="0.25">
      <c r="A263" s="35"/>
      <c r="B263" s="35"/>
      <c r="C263" s="35"/>
      <c r="D263" s="35"/>
    </row>
    <row r="264" spans="1:4" x14ac:dyDescent="0.25">
      <c r="A264" s="35"/>
      <c r="B264" s="35"/>
      <c r="C264" s="35"/>
      <c r="D264" s="35"/>
    </row>
    <row r="265" spans="1:4" x14ac:dyDescent="0.25">
      <c r="A265" s="35"/>
      <c r="B265" s="35"/>
      <c r="C265" s="35"/>
      <c r="D265" s="35"/>
    </row>
    <row r="266" spans="1:4" x14ac:dyDescent="0.25">
      <c r="A266" s="35"/>
      <c r="B266" s="35"/>
      <c r="C266" s="35"/>
      <c r="D266" s="35"/>
    </row>
    <row r="267" spans="1:4" x14ac:dyDescent="0.25">
      <c r="A267" s="35"/>
      <c r="B267" s="35"/>
      <c r="C267" s="35"/>
      <c r="D267" s="35"/>
    </row>
    <row r="268" spans="1:4" x14ac:dyDescent="0.25">
      <c r="A268" s="35"/>
      <c r="B268" s="35"/>
      <c r="C268" s="35"/>
      <c r="D268" s="35"/>
    </row>
    <row r="269" spans="1:4" x14ac:dyDescent="0.25">
      <c r="A269" s="35"/>
      <c r="B269" s="35"/>
      <c r="C269" s="35"/>
      <c r="D269" s="35"/>
    </row>
    <row r="270" spans="1:4" x14ac:dyDescent="0.25">
      <c r="A270" s="35"/>
      <c r="B270" s="35"/>
      <c r="C270" s="35"/>
      <c r="D270" s="35"/>
    </row>
    <row r="271" spans="1:4" x14ac:dyDescent="0.25">
      <c r="A271" s="35"/>
      <c r="B271" s="35"/>
      <c r="C271" s="35"/>
      <c r="D271" s="35"/>
    </row>
    <row r="272" spans="1:4" x14ac:dyDescent="0.25">
      <c r="A272" s="35"/>
      <c r="B272" s="35"/>
      <c r="C272" s="35"/>
      <c r="D272" s="35"/>
    </row>
    <row r="273" spans="1:4" x14ac:dyDescent="0.25">
      <c r="A273" s="35"/>
      <c r="B273" s="35"/>
      <c r="C273" s="35"/>
      <c r="D273" s="35"/>
    </row>
    <row r="274" spans="1:4" x14ac:dyDescent="0.25">
      <c r="A274" s="35"/>
      <c r="B274" s="35"/>
      <c r="C274" s="35"/>
      <c r="D274" s="35"/>
    </row>
    <row r="275" spans="1:4" x14ac:dyDescent="0.25">
      <c r="A275" s="35"/>
      <c r="B275" s="35"/>
      <c r="C275" s="35"/>
      <c r="D275" s="35"/>
    </row>
    <row r="276" spans="1:4" x14ac:dyDescent="0.25">
      <c r="A276" s="35"/>
      <c r="B276" s="35"/>
      <c r="C276" s="35"/>
      <c r="D276" s="35"/>
    </row>
    <row r="277" spans="1:4" x14ac:dyDescent="0.25">
      <c r="A277" s="35"/>
      <c r="B277" s="35"/>
      <c r="C277" s="35"/>
      <c r="D277" s="35"/>
    </row>
    <row r="278" spans="1:4" x14ac:dyDescent="0.25">
      <c r="A278" s="35"/>
      <c r="B278" s="35"/>
      <c r="C278" s="35"/>
      <c r="D278" s="35"/>
    </row>
    <row r="279" spans="1:4" x14ac:dyDescent="0.25">
      <c r="A279" s="35"/>
      <c r="B279" s="35"/>
      <c r="C279" s="35"/>
      <c r="D279" s="35"/>
    </row>
    <row r="280" spans="1:4" x14ac:dyDescent="0.25">
      <c r="A280" s="35"/>
      <c r="B280" s="35"/>
      <c r="C280" s="35"/>
      <c r="D280" s="35"/>
    </row>
    <row r="281" spans="1:4" x14ac:dyDescent="0.25">
      <c r="A281" s="35"/>
      <c r="B281" s="35"/>
      <c r="C281" s="35"/>
      <c r="D281" s="35"/>
    </row>
    <row r="282" spans="1:4" x14ac:dyDescent="0.25">
      <c r="A282" s="35"/>
      <c r="B282" s="35"/>
      <c r="C282" s="35"/>
      <c r="D282" s="35"/>
    </row>
    <row r="283" spans="1:4" x14ac:dyDescent="0.25">
      <c r="A283" s="35"/>
      <c r="B283" s="35"/>
      <c r="C283" s="35"/>
      <c r="D283" s="35"/>
    </row>
    <row r="284" spans="1:4" x14ac:dyDescent="0.25">
      <c r="A284" s="35"/>
      <c r="B284" s="35"/>
      <c r="C284" s="35"/>
      <c r="D284" s="35"/>
    </row>
    <row r="285" spans="1:4" x14ac:dyDescent="0.25">
      <c r="A285" s="35"/>
      <c r="B285" s="35"/>
      <c r="C285" s="35"/>
      <c r="D285" s="35"/>
    </row>
    <row r="286" spans="1:4" x14ac:dyDescent="0.25">
      <c r="A286" s="35"/>
      <c r="B286" s="35"/>
      <c r="C286" s="35"/>
      <c r="D286" s="35"/>
    </row>
    <row r="287" spans="1:4" x14ac:dyDescent="0.25">
      <c r="A287" s="35"/>
      <c r="B287" s="35"/>
      <c r="C287" s="35"/>
      <c r="D287" s="35"/>
    </row>
    <row r="288" spans="1:4" x14ac:dyDescent="0.25">
      <c r="A288" s="35"/>
      <c r="B288" s="35"/>
      <c r="C288" s="35"/>
      <c r="D288" s="35"/>
    </row>
    <row r="289" spans="1:4" x14ac:dyDescent="0.25">
      <c r="A289" s="35"/>
      <c r="B289" s="35"/>
      <c r="C289" s="35"/>
      <c r="D289" s="35"/>
    </row>
    <row r="290" spans="1:4" x14ac:dyDescent="0.25">
      <c r="A290" s="35"/>
      <c r="B290" s="35"/>
      <c r="C290" s="35"/>
      <c r="D290" s="35"/>
    </row>
    <row r="291" spans="1:4" x14ac:dyDescent="0.25">
      <c r="A291" s="35"/>
      <c r="B291" s="35"/>
      <c r="C291" s="35"/>
      <c r="D291" s="35"/>
    </row>
    <row r="292" spans="1:4" x14ac:dyDescent="0.25">
      <c r="A292" s="35"/>
      <c r="B292" s="35"/>
      <c r="C292" s="35"/>
      <c r="D292" s="35"/>
    </row>
    <row r="293" spans="1:4" x14ac:dyDescent="0.25">
      <c r="A293" s="35"/>
      <c r="B293" s="35"/>
      <c r="C293" s="35"/>
      <c r="D293" s="35"/>
    </row>
    <row r="294" spans="1:4" x14ac:dyDescent="0.25">
      <c r="A294" s="35"/>
      <c r="B294" s="35"/>
      <c r="C294" s="35"/>
      <c r="D294" s="35"/>
    </row>
    <row r="295" spans="1:4" x14ac:dyDescent="0.25">
      <c r="A295" s="35"/>
      <c r="B295" s="35"/>
      <c r="C295" s="35"/>
      <c r="D295" s="35"/>
    </row>
    <row r="296" spans="1:4" x14ac:dyDescent="0.25">
      <c r="A296" s="35"/>
      <c r="B296" s="35"/>
      <c r="C296" s="35"/>
      <c r="D296" s="35"/>
    </row>
    <row r="297" spans="1:4" x14ac:dyDescent="0.25">
      <c r="A297" s="35"/>
      <c r="B297" s="35"/>
      <c r="C297" s="35"/>
      <c r="D297" s="35"/>
    </row>
    <row r="298" spans="1:4" x14ac:dyDescent="0.25">
      <c r="A298" s="35"/>
      <c r="B298" s="35"/>
      <c r="C298" s="35"/>
      <c r="D298" s="35"/>
    </row>
    <row r="299" spans="1:4" x14ac:dyDescent="0.25">
      <c r="A299" s="35"/>
      <c r="B299" s="35"/>
      <c r="C299" s="35"/>
      <c r="D299" s="35"/>
    </row>
    <row r="300" spans="1:4" x14ac:dyDescent="0.25">
      <c r="A300" s="35"/>
      <c r="B300" s="35"/>
      <c r="C300" s="35"/>
      <c r="D300" s="35"/>
    </row>
    <row r="301" spans="1:4" x14ac:dyDescent="0.25">
      <c r="A301" s="35"/>
      <c r="B301" s="35"/>
      <c r="C301" s="35"/>
      <c r="D301" s="35"/>
    </row>
    <row r="302" spans="1:4" x14ac:dyDescent="0.25">
      <c r="A302" s="35"/>
      <c r="B302" s="35"/>
      <c r="C302" s="35"/>
      <c r="D302" s="35"/>
    </row>
    <row r="303" spans="1:4" x14ac:dyDescent="0.25">
      <c r="A303" s="35"/>
      <c r="B303" s="35"/>
      <c r="C303" s="35"/>
      <c r="D303" s="35"/>
    </row>
    <row r="304" spans="1:4" x14ac:dyDescent="0.25">
      <c r="A304" s="35"/>
      <c r="B304" s="35"/>
      <c r="C304" s="35"/>
      <c r="D304" s="35"/>
    </row>
    <row r="305" spans="1:4" x14ac:dyDescent="0.25">
      <c r="A305" s="35"/>
      <c r="B305" s="35"/>
      <c r="C305" s="35"/>
      <c r="D305" s="35"/>
    </row>
    <row r="306" spans="1:4" x14ac:dyDescent="0.25">
      <c r="A306" s="35"/>
      <c r="B306" s="35"/>
      <c r="C306" s="35"/>
      <c r="D306" s="35"/>
    </row>
    <row r="307" spans="1:4" x14ac:dyDescent="0.25">
      <c r="A307" s="35"/>
      <c r="B307" s="35"/>
      <c r="C307" s="35"/>
      <c r="D307" s="35"/>
    </row>
    <row r="308" spans="1:4" x14ac:dyDescent="0.25">
      <c r="A308" s="35"/>
      <c r="B308" s="35"/>
      <c r="C308" s="35"/>
      <c r="D308" s="35"/>
    </row>
    <row r="309" spans="1:4" x14ac:dyDescent="0.25">
      <c r="A309" s="35"/>
      <c r="B309" s="35"/>
      <c r="C309" s="35"/>
      <c r="D309" s="35"/>
    </row>
    <row r="310" spans="1:4" x14ac:dyDescent="0.25">
      <c r="A310" s="35"/>
      <c r="B310" s="35"/>
      <c r="C310" s="35"/>
      <c r="D310" s="35"/>
    </row>
    <row r="311" spans="1:4" x14ac:dyDescent="0.25">
      <c r="A311" s="35"/>
      <c r="B311" s="35"/>
      <c r="C311" s="35"/>
      <c r="D311" s="35"/>
    </row>
    <row r="312" spans="1:4" x14ac:dyDescent="0.25">
      <c r="A312" s="35"/>
      <c r="B312" s="35"/>
      <c r="C312" s="35"/>
      <c r="D312" s="35"/>
    </row>
    <row r="313" spans="1:4" x14ac:dyDescent="0.25">
      <c r="A313" s="35"/>
      <c r="B313" s="35"/>
      <c r="C313" s="35"/>
      <c r="D313" s="35"/>
    </row>
    <row r="314" spans="1:4" x14ac:dyDescent="0.25">
      <c r="A314" s="35"/>
      <c r="B314" s="35"/>
      <c r="C314" s="35"/>
      <c r="D314" s="35"/>
    </row>
    <row r="315" spans="1:4" x14ac:dyDescent="0.25">
      <c r="A315" s="35"/>
      <c r="B315" s="35"/>
      <c r="C315" s="35"/>
      <c r="D315" s="35"/>
    </row>
    <row r="316" spans="1:4" x14ac:dyDescent="0.25">
      <c r="D316" s="35"/>
    </row>
    <row r="317" spans="1:4" x14ac:dyDescent="0.25">
      <c r="D317" s="35"/>
    </row>
    <row r="318" spans="1:4" x14ac:dyDescent="0.25">
      <c r="D318" s="35"/>
    </row>
    <row r="319" spans="1:4" x14ac:dyDescent="0.25">
      <c r="D319" s="35"/>
    </row>
    <row r="320" spans="1:4" x14ac:dyDescent="0.25">
      <c r="D320" s="35"/>
    </row>
    <row r="321" spans="4:4" x14ac:dyDescent="0.25">
      <c r="D321" s="35"/>
    </row>
    <row r="322" spans="4:4" x14ac:dyDescent="0.25">
      <c r="D322" s="35"/>
    </row>
    <row r="323" spans="4:4" x14ac:dyDescent="0.25">
      <c r="D323" s="35"/>
    </row>
    <row r="324" spans="4:4" x14ac:dyDescent="0.25">
      <c r="D324" s="35"/>
    </row>
    <row r="325" spans="4:4" x14ac:dyDescent="0.25">
      <c r="D325" s="35"/>
    </row>
    <row r="326" spans="4:4" x14ac:dyDescent="0.25">
      <c r="D326" s="35"/>
    </row>
    <row r="327" spans="4:4" x14ac:dyDescent="0.25">
      <c r="D327" s="35"/>
    </row>
    <row r="328" spans="4:4" x14ac:dyDescent="0.25">
      <c r="D328" s="35"/>
    </row>
    <row r="329" spans="4:4" x14ac:dyDescent="0.25">
      <c r="D329" s="35"/>
    </row>
    <row r="330" spans="4:4" x14ac:dyDescent="0.25">
      <c r="D330" s="35"/>
    </row>
    <row r="331" spans="4:4" x14ac:dyDescent="0.25">
      <c r="D331" s="35"/>
    </row>
    <row r="332" spans="4:4" x14ac:dyDescent="0.25">
      <c r="D332" s="35"/>
    </row>
    <row r="333" spans="4:4" x14ac:dyDescent="0.25">
      <c r="D333" s="35"/>
    </row>
    <row r="334" spans="4:4" x14ac:dyDescent="0.25">
      <c r="D334" s="35"/>
    </row>
    <row r="335" spans="4:4" x14ac:dyDescent="0.25">
      <c r="D335" s="35"/>
    </row>
    <row r="336" spans="4:4" x14ac:dyDescent="0.25">
      <c r="D336" s="35"/>
    </row>
    <row r="337" spans="4:4" x14ac:dyDescent="0.25">
      <c r="D337" s="35"/>
    </row>
    <row r="338" spans="4:4" x14ac:dyDescent="0.25">
      <c r="D338" s="35"/>
    </row>
    <row r="339" spans="4:4" x14ac:dyDescent="0.25">
      <c r="D339" s="35"/>
    </row>
    <row r="340" spans="4:4" x14ac:dyDescent="0.25">
      <c r="D340" s="35"/>
    </row>
    <row r="341" spans="4:4" x14ac:dyDescent="0.25">
      <c r="D341" s="35"/>
    </row>
    <row r="342" spans="4:4" x14ac:dyDescent="0.25">
      <c r="D342" s="35"/>
    </row>
    <row r="343" spans="4:4" x14ac:dyDescent="0.25">
      <c r="D343" s="35"/>
    </row>
    <row r="344" spans="4:4" x14ac:dyDescent="0.25">
      <c r="D344" s="35"/>
    </row>
    <row r="345" spans="4:4" x14ac:dyDescent="0.25">
      <c r="D345" s="35"/>
    </row>
    <row r="346" spans="4:4" x14ac:dyDescent="0.25">
      <c r="D346" s="35"/>
    </row>
    <row r="347" spans="4:4" x14ac:dyDescent="0.25">
      <c r="D347" s="35"/>
    </row>
    <row r="348" spans="4:4" x14ac:dyDescent="0.25">
      <c r="D348" s="35"/>
    </row>
    <row r="349" spans="4:4" x14ac:dyDescent="0.25">
      <c r="D349" s="35"/>
    </row>
    <row r="350" spans="4:4" x14ac:dyDescent="0.25">
      <c r="D350" s="35"/>
    </row>
    <row r="351" spans="4:4" x14ac:dyDescent="0.25">
      <c r="D351" s="35"/>
    </row>
    <row r="352" spans="4:4" x14ac:dyDescent="0.25">
      <c r="D352" s="35"/>
    </row>
    <row r="353" spans="4:4" x14ac:dyDescent="0.25">
      <c r="D353" s="35"/>
    </row>
    <row r="354" spans="4:4" x14ac:dyDescent="0.25">
      <c r="D354" s="35"/>
    </row>
    <row r="355" spans="4:4" x14ac:dyDescent="0.25">
      <c r="D355" s="35"/>
    </row>
    <row r="356" spans="4:4" x14ac:dyDescent="0.25">
      <c r="D356" s="35"/>
    </row>
    <row r="357" spans="4:4" x14ac:dyDescent="0.25">
      <c r="D357" s="35"/>
    </row>
    <row r="358" spans="4:4" x14ac:dyDescent="0.25">
      <c r="D358" s="35"/>
    </row>
    <row r="359" spans="4:4" x14ac:dyDescent="0.25">
      <c r="D359" s="35"/>
    </row>
    <row r="360" spans="4:4" x14ac:dyDescent="0.25">
      <c r="D360" s="35"/>
    </row>
    <row r="361" spans="4:4" x14ac:dyDescent="0.25">
      <c r="D361" s="35"/>
    </row>
    <row r="362" spans="4:4" x14ac:dyDescent="0.25">
      <c r="D362" s="35"/>
    </row>
    <row r="363" spans="4:4" x14ac:dyDescent="0.25">
      <c r="D363" s="35"/>
    </row>
    <row r="364" spans="4:4" x14ac:dyDescent="0.25">
      <c r="D364" s="35"/>
    </row>
    <row r="365" spans="4:4" x14ac:dyDescent="0.25">
      <c r="D365" s="35"/>
    </row>
    <row r="366" spans="4:4" x14ac:dyDescent="0.25">
      <c r="D366" s="35"/>
    </row>
    <row r="367" spans="4:4" x14ac:dyDescent="0.25">
      <c r="D367" s="35"/>
    </row>
    <row r="368" spans="4:4" x14ac:dyDescent="0.25">
      <c r="D368" s="35"/>
    </row>
    <row r="369" spans="4:4" x14ac:dyDescent="0.25">
      <c r="D369" s="35"/>
    </row>
    <row r="370" spans="4:4" x14ac:dyDescent="0.25">
      <c r="D370" s="35"/>
    </row>
    <row r="371" spans="4:4" x14ac:dyDescent="0.25">
      <c r="D371" s="35"/>
    </row>
    <row r="372" spans="4:4" x14ac:dyDescent="0.25">
      <c r="D372" s="35"/>
    </row>
    <row r="373" spans="4:4" x14ac:dyDescent="0.25">
      <c r="D373" s="35"/>
    </row>
    <row r="374" spans="4:4" x14ac:dyDescent="0.25">
      <c r="D374" s="35"/>
    </row>
    <row r="375" spans="4:4" x14ac:dyDescent="0.25">
      <c r="D375" s="35"/>
    </row>
    <row r="376" spans="4:4" x14ac:dyDescent="0.25">
      <c r="D376" s="35"/>
    </row>
    <row r="377" spans="4:4" x14ac:dyDescent="0.25">
      <c r="D377" s="35"/>
    </row>
    <row r="378" spans="4:4" x14ac:dyDescent="0.25">
      <c r="D378" s="35"/>
    </row>
    <row r="379" spans="4:4" x14ac:dyDescent="0.25">
      <c r="D379" s="35"/>
    </row>
    <row r="380" spans="4:4" x14ac:dyDescent="0.25">
      <c r="D380" s="35"/>
    </row>
    <row r="381" spans="4:4" x14ac:dyDescent="0.25">
      <c r="D381" s="35"/>
    </row>
    <row r="382" spans="4:4" x14ac:dyDescent="0.25">
      <c r="D382" s="35"/>
    </row>
    <row r="383" spans="4:4" x14ac:dyDescent="0.25">
      <c r="D383" s="35"/>
    </row>
    <row r="384" spans="4:4" x14ac:dyDescent="0.25">
      <c r="D384" s="35"/>
    </row>
    <row r="385" spans="4:4" x14ac:dyDescent="0.25">
      <c r="D385" s="35"/>
    </row>
    <row r="386" spans="4:4" x14ac:dyDescent="0.25">
      <c r="D386" s="35"/>
    </row>
    <row r="387" spans="4:4" x14ac:dyDescent="0.25">
      <c r="D387" s="35"/>
    </row>
    <row r="388" spans="4:4" x14ac:dyDescent="0.25">
      <c r="D388" s="35"/>
    </row>
    <row r="389" spans="4:4" x14ac:dyDescent="0.25">
      <c r="D389" s="35"/>
    </row>
    <row r="390" spans="4:4" x14ac:dyDescent="0.25">
      <c r="D390" s="35"/>
    </row>
    <row r="391" spans="4:4" x14ac:dyDescent="0.25">
      <c r="D391" s="35"/>
    </row>
    <row r="392" spans="4:4" x14ac:dyDescent="0.25">
      <c r="D392" s="35"/>
    </row>
    <row r="393" spans="4:4" x14ac:dyDescent="0.25">
      <c r="D393" s="35"/>
    </row>
    <row r="394" spans="4:4" x14ac:dyDescent="0.25">
      <c r="D394" s="35"/>
    </row>
    <row r="395" spans="4:4" x14ac:dyDescent="0.25">
      <c r="D395" s="35"/>
    </row>
    <row r="396" spans="4:4" x14ac:dyDescent="0.25">
      <c r="D396" s="35"/>
    </row>
    <row r="397" spans="4:4" x14ac:dyDescent="0.25">
      <c r="D397" s="35"/>
    </row>
    <row r="398" spans="4:4" x14ac:dyDescent="0.25">
      <c r="D398" s="35"/>
    </row>
    <row r="399" spans="4:4" x14ac:dyDescent="0.25">
      <c r="D399" s="35"/>
    </row>
    <row r="400" spans="4:4" x14ac:dyDescent="0.25">
      <c r="D400" s="35"/>
    </row>
    <row r="401" spans="4:4" x14ac:dyDescent="0.25">
      <c r="D401" s="35"/>
    </row>
    <row r="402" spans="4:4" x14ac:dyDescent="0.25">
      <c r="D402" s="35"/>
    </row>
    <row r="403" spans="4:4" x14ac:dyDescent="0.25">
      <c r="D403" s="35"/>
    </row>
    <row r="404" spans="4:4" x14ac:dyDescent="0.25">
      <c r="D404" s="35"/>
    </row>
    <row r="405" spans="4:4" x14ac:dyDescent="0.25">
      <c r="D405" s="35"/>
    </row>
    <row r="406" spans="4:4" x14ac:dyDescent="0.25">
      <c r="D406" s="35"/>
    </row>
    <row r="407" spans="4:4" x14ac:dyDescent="0.25">
      <c r="D407" s="35"/>
    </row>
    <row r="408" spans="4:4" x14ac:dyDescent="0.25">
      <c r="D408" s="35"/>
    </row>
    <row r="409" spans="4:4" x14ac:dyDescent="0.25">
      <c r="D409" s="35"/>
    </row>
    <row r="410" spans="4:4" x14ac:dyDescent="0.25">
      <c r="D410" s="35"/>
    </row>
    <row r="411" spans="4:4" x14ac:dyDescent="0.25">
      <c r="D411" s="35"/>
    </row>
    <row r="412" spans="4:4" x14ac:dyDescent="0.25">
      <c r="D412" s="35"/>
    </row>
    <row r="413" spans="4:4" x14ac:dyDescent="0.25">
      <c r="D413" s="35"/>
    </row>
    <row r="414" spans="4:4" x14ac:dyDescent="0.25">
      <c r="D414" s="35"/>
    </row>
    <row r="415" spans="4:4" x14ac:dyDescent="0.25">
      <c r="D415" s="35"/>
    </row>
    <row r="416" spans="4:4" x14ac:dyDescent="0.25">
      <c r="D416" s="35"/>
    </row>
    <row r="417" spans="4:4" x14ac:dyDescent="0.25">
      <c r="D417" s="35"/>
    </row>
    <row r="418" spans="4:4" x14ac:dyDescent="0.25">
      <c r="D418" s="35"/>
    </row>
    <row r="419" spans="4:4" x14ac:dyDescent="0.25">
      <c r="D419" s="35"/>
    </row>
    <row r="420" spans="4:4" x14ac:dyDescent="0.25">
      <c r="D420" s="35"/>
    </row>
    <row r="421" spans="4:4" x14ac:dyDescent="0.25">
      <c r="D421" s="35"/>
    </row>
    <row r="422" spans="4:4" x14ac:dyDescent="0.25">
      <c r="D422" s="35"/>
    </row>
    <row r="423" spans="4:4" x14ac:dyDescent="0.25">
      <c r="D423" s="35"/>
    </row>
    <row r="424" spans="4:4" x14ac:dyDescent="0.25">
      <c r="D424" s="35"/>
    </row>
    <row r="425" spans="4:4" x14ac:dyDescent="0.25">
      <c r="D425" s="35"/>
    </row>
    <row r="426" spans="4:4" x14ac:dyDescent="0.25">
      <c r="D426" s="35"/>
    </row>
    <row r="427" spans="4:4" x14ac:dyDescent="0.25">
      <c r="D427" s="35"/>
    </row>
    <row r="428" spans="4:4" x14ac:dyDescent="0.25">
      <c r="D428" s="35"/>
    </row>
    <row r="429" spans="4:4" x14ac:dyDescent="0.25">
      <c r="D429" s="35"/>
    </row>
    <row r="430" spans="4:4" x14ac:dyDescent="0.25">
      <c r="D430" s="35"/>
    </row>
    <row r="431" spans="4:4" x14ac:dyDescent="0.25">
      <c r="D431" s="35"/>
    </row>
    <row r="432" spans="4:4" x14ac:dyDescent="0.25">
      <c r="D432" s="35"/>
    </row>
    <row r="433" spans="4:4" x14ac:dyDescent="0.25">
      <c r="D433" s="35"/>
    </row>
    <row r="434" spans="4:4" x14ac:dyDescent="0.25">
      <c r="D434" s="35"/>
    </row>
    <row r="435" spans="4:4" x14ac:dyDescent="0.25">
      <c r="D435" s="35"/>
    </row>
    <row r="436" spans="4:4" x14ac:dyDescent="0.25">
      <c r="D436" s="35"/>
    </row>
    <row r="437" spans="4:4" x14ac:dyDescent="0.25">
      <c r="D437" s="35"/>
    </row>
    <row r="438" spans="4:4" x14ac:dyDescent="0.25">
      <c r="D438" s="35"/>
    </row>
    <row r="439" spans="4:4" x14ac:dyDescent="0.25">
      <c r="D439" s="35"/>
    </row>
    <row r="440" spans="4:4" x14ac:dyDescent="0.25">
      <c r="D440" s="35"/>
    </row>
    <row r="441" spans="4:4" x14ac:dyDescent="0.25">
      <c r="D441" s="35"/>
    </row>
    <row r="442" spans="4:4" x14ac:dyDescent="0.25">
      <c r="D442" s="35"/>
    </row>
    <row r="443" spans="4:4" x14ac:dyDescent="0.25">
      <c r="D443" s="35"/>
    </row>
    <row r="444" spans="4:4" x14ac:dyDescent="0.25">
      <c r="D444" s="35"/>
    </row>
    <row r="445" spans="4:4" x14ac:dyDescent="0.25">
      <c r="D445" s="35"/>
    </row>
    <row r="446" spans="4:4" x14ac:dyDescent="0.25">
      <c r="D446" s="35"/>
    </row>
    <row r="447" spans="4:4" x14ac:dyDescent="0.25">
      <c r="D447" s="35"/>
    </row>
    <row r="448" spans="4:4" x14ac:dyDescent="0.25">
      <c r="D448" s="35"/>
    </row>
    <row r="449" spans="4:4" x14ac:dyDescent="0.25">
      <c r="D449" s="35"/>
    </row>
    <row r="450" spans="4:4" x14ac:dyDescent="0.25">
      <c r="D450" s="35"/>
    </row>
    <row r="451" spans="4:4" x14ac:dyDescent="0.25">
      <c r="D451" s="35"/>
    </row>
    <row r="452" spans="4:4" x14ac:dyDescent="0.25">
      <c r="D452" s="35"/>
    </row>
    <row r="453" spans="4:4" x14ac:dyDescent="0.25">
      <c r="D453" s="35"/>
    </row>
    <row r="454" spans="4:4" x14ac:dyDescent="0.25">
      <c r="D454" s="35"/>
    </row>
    <row r="455" spans="4:4" x14ac:dyDescent="0.25">
      <c r="D455" s="35"/>
    </row>
    <row r="456" spans="4:4" x14ac:dyDescent="0.25">
      <c r="D456" s="35"/>
    </row>
    <row r="457" spans="4:4" x14ac:dyDescent="0.25">
      <c r="D457" s="35"/>
    </row>
    <row r="458" spans="4:4" x14ac:dyDescent="0.25">
      <c r="D458" s="35"/>
    </row>
    <row r="459" spans="4:4" x14ac:dyDescent="0.25">
      <c r="D459" s="35"/>
    </row>
    <row r="460" spans="4:4" x14ac:dyDescent="0.25">
      <c r="D460" s="35"/>
    </row>
    <row r="461" spans="4:4" x14ac:dyDescent="0.25">
      <c r="D461" s="35"/>
    </row>
    <row r="462" spans="4:4" x14ac:dyDescent="0.25">
      <c r="D462" s="35"/>
    </row>
    <row r="463" spans="4:4" x14ac:dyDescent="0.25">
      <c r="D463" s="35"/>
    </row>
    <row r="464" spans="4:4" x14ac:dyDescent="0.25">
      <c r="D464" s="35"/>
    </row>
    <row r="465" spans="4:4" x14ac:dyDescent="0.25">
      <c r="D465" s="35"/>
    </row>
    <row r="466" spans="4:4" x14ac:dyDescent="0.25">
      <c r="D466" s="35"/>
    </row>
    <row r="467" spans="4:4" x14ac:dyDescent="0.25">
      <c r="D467" s="35"/>
    </row>
    <row r="468" spans="4:4" x14ac:dyDescent="0.25">
      <c r="D468" s="35"/>
    </row>
    <row r="469" spans="4:4" x14ac:dyDescent="0.25">
      <c r="D469" s="35"/>
    </row>
    <row r="470" spans="4:4" x14ac:dyDescent="0.25">
      <c r="D470" s="35"/>
    </row>
    <row r="471" spans="4:4" x14ac:dyDescent="0.25">
      <c r="D471" s="35"/>
    </row>
    <row r="472" spans="4:4" x14ac:dyDescent="0.25">
      <c r="D472" s="35"/>
    </row>
    <row r="473" spans="4:4" x14ac:dyDescent="0.25">
      <c r="D473" s="35"/>
    </row>
    <row r="474" spans="4:4" x14ac:dyDescent="0.25">
      <c r="D474" s="35"/>
    </row>
    <row r="475" spans="4:4" x14ac:dyDescent="0.25">
      <c r="D475" s="35"/>
    </row>
    <row r="476" spans="4:4" x14ac:dyDescent="0.25">
      <c r="D476" s="35"/>
    </row>
    <row r="477" spans="4:4" x14ac:dyDescent="0.25">
      <c r="D477" s="35"/>
    </row>
    <row r="478" spans="4:4" x14ac:dyDescent="0.25">
      <c r="D478" s="35"/>
    </row>
    <row r="479" spans="4:4" x14ac:dyDescent="0.25">
      <c r="D479" s="35"/>
    </row>
    <row r="480" spans="4:4" x14ac:dyDescent="0.25">
      <c r="D480" s="35"/>
    </row>
    <row r="481" spans="4:4" x14ac:dyDescent="0.25">
      <c r="D481" s="35"/>
    </row>
    <row r="482" spans="4:4" x14ac:dyDescent="0.25">
      <c r="D482" s="35"/>
    </row>
    <row r="483" spans="4:4" x14ac:dyDescent="0.25">
      <c r="D483" s="35"/>
    </row>
    <row r="484" spans="4:4" x14ac:dyDescent="0.25">
      <c r="D484" s="35"/>
    </row>
    <row r="485" spans="4:4" x14ac:dyDescent="0.25">
      <c r="D485" s="35"/>
    </row>
    <row r="486" spans="4:4" x14ac:dyDescent="0.25">
      <c r="D486" s="35"/>
    </row>
    <row r="487" spans="4:4" x14ac:dyDescent="0.25">
      <c r="D487" s="35"/>
    </row>
    <row r="488" spans="4:4" x14ac:dyDescent="0.25">
      <c r="D488" s="35"/>
    </row>
    <row r="489" spans="4:4" x14ac:dyDescent="0.25">
      <c r="D489" s="35"/>
    </row>
    <row r="490" spans="4:4" x14ac:dyDescent="0.25">
      <c r="D490" s="35"/>
    </row>
    <row r="491" spans="4:4" x14ac:dyDescent="0.25">
      <c r="D491" s="35"/>
    </row>
    <row r="492" spans="4:4" x14ac:dyDescent="0.25">
      <c r="D492" s="35"/>
    </row>
    <row r="493" spans="4:4" x14ac:dyDescent="0.25">
      <c r="D493" s="35"/>
    </row>
    <row r="494" spans="4:4" x14ac:dyDescent="0.25">
      <c r="D494" s="35"/>
    </row>
    <row r="495" spans="4:4" x14ac:dyDescent="0.25">
      <c r="D495" s="35"/>
    </row>
    <row r="496" spans="4:4" x14ac:dyDescent="0.25">
      <c r="D496" s="35"/>
    </row>
    <row r="497" spans="4:4" x14ac:dyDescent="0.25">
      <c r="D497" s="35"/>
    </row>
    <row r="498" spans="4:4" x14ac:dyDescent="0.25">
      <c r="D498" s="35"/>
    </row>
    <row r="499" spans="4:4" x14ac:dyDescent="0.25">
      <c r="D499" s="35"/>
    </row>
    <row r="500" spans="4:4" x14ac:dyDescent="0.25">
      <c r="D500" s="35"/>
    </row>
    <row r="501" spans="4:4" x14ac:dyDescent="0.25">
      <c r="D501" s="35"/>
    </row>
    <row r="502" spans="4:4" x14ac:dyDescent="0.25">
      <c r="D502" s="35"/>
    </row>
    <row r="503" spans="4:4" x14ac:dyDescent="0.25">
      <c r="D503" s="35"/>
    </row>
    <row r="504" spans="4:4" x14ac:dyDescent="0.25">
      <c r="D504" s="35"/>
    </row>
    <row r="505" spans="4:4" x14ac:dyDescent="0.25">
      <c r="D505" s="35"/>
    </row>
    <row r="506" spans="4:4" x14ac:dyDescent="0.25">
      <c r="D506" s="35"/>
    </row>
    <row r="507" spans="4:4" x14ac:dyDescent="0.25">
      <c r="D507" s="35"/>
    </row>
    <row r="508" spans="4:4" x14ac:dyDescent="0.25">
      <c r="D508" s="35"/>
    </row>
    <row r="509" spans="4:4" x14ac:dyDescent="0.25">
      <c r="D509" s="35"/>
    </row>
    <row r="510" spans="4:4" x14ac:dyDescent="0.25">
      <c r="D510" s="35"/>
    </row>
    <row r="511" spans="4:4" x14ac:dyDescent="0.25">
      <c r="D511" s="35"/>
    </row>
    <row r="512" spans="4:4" x14ac:dyDescent="0.25">
      <c r="D512" s="35"/>
    </row>
    <row r="513" spans="4:4" x14ac:dyDescent="0.25">
      <c r="D513" s="35"/>
    </row>
    <row r="514" spans="4:4" x14ac:dyDescent="0.25">
      <c r="D514" s="35"/>
    </row>
    <row r="515" spans="4:4" x14ac:dyDescent="0.25">
      <c r="D515" s="35"/>
    </row>
    <row r="516" spans="4:4" x14ac:dyDescent="0.25">
      <c r="D516" s="35"/>
    </row>
    <row r="517" spans="4:4" x14ac:dyDescent="0.25">
      <c r="D517" s="35"/>
    </row>
    <row r="518" spans="4:4" x14ac:dyDescent="0.25">
      <c r="D518" s="35"/>
    </row>
    <row r="519" spans="4:4" x14ac:dyDescent="0.25">
      <c r="D519" s="35"/>
    </row>
    <row r="520" spans="4:4" x14ac:dyDescent="0.25">
      <c r="D520" s="35"/>
    </row>
    <row r="521" spans="4:4" x14ac:dyDescent="0.25">
      <c r="D521" s="35"/>
    </row>
    <row r="522" spans="4:4" x14ac:dyDescent="0.25">
      <c r="D522" s="35"/>
    </row>
    <row r="523" spans="4:4" x14ac:dyDescent="0.25">
      <c r="D523" s="35"/>
    </row>
    <row r="524" spans="4:4" x14ac:dyDescent="0.25">
      <c r="D524" s="35"/>
    </row>
    <row r="525" spans="4:4" x14ac:dyDescent="0.25">
      <c r="D525" s="35"/>
    </row>
    <row r="526" spans="4:4" x14ac:dyDescent="0.25">
      <c r="D526" s="35"/>
    </row>
    <row r="527" spans="4:4" x14ac:dyDescent="0.25">
      <c r="D527" s="35"/>
    </row>
    <row r="528" spans="4:4" x14ac:dyDescent="0.25">
      <c r="D528" s="35"/>
    </row>
    <row r="529" spans="4:4" x14ac:dyDescent="0.25">
      <c r="D529" s="35"/>
    </row>
    <row r="530" spans="4:4" x14ac:dyDescent="0.25">
      <c r="D530" s="35"/>
    </row>
    <row r="531" spans="4:4" x14ac:dyDescent="0.25">
      <c r="D531" s="35"/>
    </row>
    <row r="532" spans="4:4" x14ac:dyDescent="0.25">
      <c r="D532" s="35"/>
    </row>
    <row r="533" spans="4:4" x14ac:dyDescent="0.25">
      <c r="D533" s="35"/>
    </row>
    <row r="534" spans="4:4" x14ac:dyDescent="0.25">
      <c r="D534" s="35"/>
    </row>
    <row r="535" spans="4:4" x14ac:dyDescent="0.25">
      <c r="D535" s="35"/>
    </row>
    <row r="536" spans="4:4" x14ac:dyDescent="0.25">
      <c r="D536" s="35"/>
    </row>
    <row r="537" spans="4:4" x14ac:dyDescent="0.25">
      <c r="D537" s="35"/>
    </row>
    <row r="538" spans="4:4" x14ac:dyDescent="0.25">
      <c r="D538" s="35"/>
    </row>
    <row r="539" spans="4:4" x14ac:dyDescent="0.25">
      <c r="D539" s="35"/>
    </row>
    <row r="540" spans="4:4" x14ac:dyDescent="0.25">
      <c r="D540" s="35"/>
    </row>
    <row r="541" spans="4:4" x14ac:dyDescent="0.25">
      <c r="D541" s="35"/>
    </row>
    <row r="542" spans="4:4" x14ac:dyDescent="0.25">
      <c r="D542" s="35"/>
    </row>
    <row r="543" spans="4:4" x14ac:dyDescent="0.25">
      <c r="D543" s="35"/>
    </row>
    <row r="544" spans="4:4" x14ac:dyDescent="0.25">
      <c r="D544" s="35"/>
    </row>
    <row r="545" spans="4:4" x14ac:dyDescent="0.25">
      <c r="D545" s="35"/>
    </row>
    <row r="546" spans="4:4" x14ac:dyDescent="0.25">
      <c r="D546" s="35"/>
    </row>
    <row r="547" spans="4:4" x14ac:dyDescent="0.25">
      <c r="D547" s="35"/>
    </row>
    <row r="548" spans="4:4" x14ac:dyDescent="0.25">
      <c r="D548" s="35"/>
    </row>
    <row r="549" spans="4:4" x14ac:dyDescent="0.25">
      <c r="D549" s="35"/>
    </row>
    <row r="550" spans="4:4" x14ac:dyDescent="0.25">
      <c r="D550" s="35"/>
    </row>
    <row r="551" spans="4:4" x14ac:dyDescent="0.25">
      <c r="D551" s="35"/>
    </row>
    <row r="552" spans="4:4" x14ac:dyDescent="0.25">
      <c r="D552" s="35"/>
    </row>
    <row r="553" spans="4:4" x14ac:dyDescent="0.25">
      <c r="D553" s="35"/>
    </row>
    <row r="554" spans="4:4" x14ac:dyDescent="0.25">
      <c r="D554" s="35"/>
    </row>
    <row r="555" spans="4:4" x14ac:dyDescent="0.25">
      <c r="D555" s="35"/>
    </row>
    <row r="556" spans="4:4" x14ac:dyDescent="0.25">
      <c r="D556" s="35"/>
    </row>
    <row r="557" spans="4:4" x14ac:dyDescent="0.25">
      <c r="D557" s="35"/>
    </row>
    <row r="558" spans="4:4" x14ac:dyDescent="0.25">
      <c r="D558" s="35"/>
    </row>
    <row r="559" spans="4:4" x14ac:dyDescent="0.25">
      <c r="D559" s="35"/>
    </row>
    <row r="560" spans="4:4" x14ac:dyDescent="0.25">
      <c r="D560" s="35"/>
    </row>
    <row r="561" spans="4:4" x14ac:dyDescent="0.25">
      <c r="D561" s="35"/>
    </row>
    <row r="562" spans="4:4" x14ac:dyDescent="0.25">
      <c r="D562" s="35"/>
    </row>
    <row r="563" spans="4:4" x14ac:dyDescent="0.25">
      <c r="D563" s="35"/>
    </row>
    <row r="564" spans="4:4" x14ac:dyDescent="0.25">
      <c r="D564" s="35"/>
    </row>
    <row r="565" spans="4:4" x14ac:dyDescent="0.25">
      <c r="D565" s="35"/>
    </row>
    <row r="566" spans="4:4" x14ac:dyDescent="0.25">
      <c r="D566" s="35"/>
    </row>
    <row r="567" spans="4:4" x14ac:dyDescent="0.25">
      <c r="D567" s="35"/>
    </row>
    <row r="568" spans="4:4" x14ac:dyDescent="0.25">
      <c r="D568" s="35"/>
    </row>
    <row r="569" spans="4:4" x14ac:dyDescent="0.25">
      <c r="D569" s="35"/>
    </row>
    <row r="570" spans="4:4" x14ac:dyDescent="0.25">
      <c r="D570" s="35"/>
    </row>
    <row r="571" spans="4:4" x14ac:dyDescent="0.25">
      <c r="D571" s="35"/>
    </row>
    <row r="572" spans="4:4" x14ac:dyDescent="0.25">
      <c r="D572" s="35"/>
    </row>
    <row r="573" spans="4:4" x14ac:dyDescent="0.25">
      <c r="D573" s="35"/>
    </row>
    <row r="574" spans="4:4" x14ac:dyDescent="0.25">
      <c r="D574" s="35"/>
    </row>
    <row r="575" spans="4:4" x14ac:dyDescent="0.25">
      <c r="D575" s="35"/>
    </row>
    <row r="576" spans="4:4" x14ac:dyDescent="0.25">
      <c r="D576" s="35"/>
    </row>
    <row r="577" spans="4:4" x14ac:dyDescent="0.25">
      <c r="D577" s="35"/>
    </row>
    <row r="578" spans="4:4" x14ac:dyDescent="0.25">
      <c r="D578" s="35"/>
    </row>
    <row r="579" spans="4:4" x14ac:dyDescent="0.25">
      <c r="D579" s="35"/>
    </row>
    <row r="580" spans="4:4" x14ac:dyDescent="0.25">
      <c r="D580" s="35"/>
    </row>
    <row r="581" spans="4:4" x14ac:dyDescent="0.25">
      <c r="D581" s="35"/>
    </row>
    <row r="582" spans="4:4" x14ac:dyDescent="0.25">
      <c r="D582" s="35"/>
    </row>
    <row r="583" spans="4:4" x14ac:dyDescent="0.25">
      <c r="D583" s="35"/>
    </row>
    <row r="584" spans="4:4" x14ac:dyDescent="0.25">
      <c r="D584" s="35"/>
    </row>
    <row r="585" spans="4:4" x14ac:dyDescent="0.25">
      <c r="D585" s="35"/>
    </row>
    <row r="586" spans="4:4" x14ac:dyDescent="0.25">
      <c r="D586" s="35"/>
    </row>
    <row r="587" spans="4:4" x14ac:dyDescent="0.25">
      <c r="D587" s="35"/>
    </row>
    <row r="588" spans="4:4" x14ac:dyDescent="0.25">
      <c r="D588" s="35"/>
    </row>
    <row r="589" spans="4:4" x14ac:dyDescent="0.25">
      <c r="D589" s="35"/>
    </row>
    <row r="590" spans="4:4" x14ac:dyDescent="0.25">
      <c r="D590" s="35"/>
    </row>
    <row r="591" spans="4:4" x14ac:dyDescent="0.25">
      <c r="D591" s="35"/>
    </row>
    <row r="592" spans="4:4" x14ac:dyDescent="0.25">
      <c r="D592" s="35"/>
    </row>
    <row r="593" spans="4:4" x14ac:dyDescent="0.25">
      <c r="D593" s="35"/>
    </row>
    <row r="594" spans="4:4" x14ac:dyDescent="0.25">
      <c r="D594" s="35"/>
    </row>
    <row r="595" spans="4:4" x14ac:dyDescent="0.25">
      <c r="D595" s="35"/>
    </row>
    <row r="596" spans="4:4" x14ac:dyDescent="0.25">
      <c r="D596" s="35"/>
    </row>
    <row r="597" spans="4:4" x14ac:dyDescent="0.25">
      <c r="D597" s="35"/>
    </row>
    <row r="598" spans="4:4" x14ac:dyDescent="0.25">
      <c r="D598" s="35"/>
    </row>
    <row r="599" spans="4:4" x14ac:dyDescent="0.25">
      <c r="D599" s="35"/>
    </row>
    <row r="600" spans="4:4" x14ac:dyDescent="0.25">
      <c r="D600" s="35"/>
    </row>
    <row r="601" spans="4:4" x14ac:dyDescent="0.25">
      <c r="D601" s="35"/>
    </row>
    <row r="602" spans="4:4" x14ac:dyDescent="0.25">
      <c r="D602" s="35"/>
    </row>
    <row r="603" spans="4:4" x14ac:dyDescent="0.25">
      <c r="D603" s="35"/>
    </row>
    <row r="604" spans="4:4" x14ac:dyDescent="0.25">
      <c r="D604" s="35"/>
    </row>
    <row r="605" spans="4:4" x14ac:dyDescent="0.25">
      <c r="D605" s="35"/>
    </row>
    <row r="606" spans="4:4" x14ac:dyDescent="0.25">
      <c r="D606" s="35"/>
    </row>
    <row r="607" spans="4:4" x14ac:dyDescent="0.25">
      <c r="D607" s="35"/>
    </row>
    <row r="608" spans="4:4" x14ac:dyDescent="0.25">
      <c r="D608" s="35"/>
    </row>
    <row r="609" spans="4:4" x14ac:dyDescent="0.25">
      <c r="D609" s="35"/>
    </row>
    <row r="610" spans="4:4" x14ac:dyDescent="0.25">
      <c r="D610" s="35"/>
    </row>
    <row r="611" spans="4:4" x14ac:dyDescent="0.25">
      <c r="D611" s="35"/>
    </row>
    <row r="612" spans="4:4" x14ac:dyDescent="0.25">
      <c r="D612" s="35"/>
    </row>
    <row r="613" spans="4:4" x14ac:dyDescent="0.25">
      <c r="D613" s="35"/>
    </row>
    <row r="614" spans="4:4" x14ac:dyDescent="0.25">
      <c r="D614" s="35"/>
    </row>
    <row r="615" spans="4:4" x14ac:dyDescent="0.25">
      <c r="D615" s="35"/>
    </row>
    <row r="616" spans="4:4" x14ac:dyDescent="0.25">
      <c r="D616" s="35"/>
    </row>
    <row r="617" spans="4:4" x14ac:dyDescent="0.25">
      <c r="D617" s="35"/>
    </row>
    <row r="618" spans="4:4" x14ac:dyDescent="0.25">
      <c r="D618" s="35"/>
    </row>
    <row r="619" spans="4:4" x14ac:dyDescent="0.25">
      <c r="D619" s="35"/>
    </row>
    <row r="620" spans="4:4" x14ac:dyDescent="0.25">
      <c r="D620" s="35"/>
    </row>
    <row r="621" spans="4:4" x14ac:dyDescent="0.25">
      <c r="D621" s="35"/>
    </row>
    <row r="622" spans="4:4" x14ac:dyDescent="0.25">
      <c r="D622" s="35"/>
    </row>
    <row r="623" spans="4:4" x14ac:dyDescent="0.25">
      <c r="D623" s="35"/>
    </row>
    <row r="624" spans="4:4" x14ac:dyDescent="0.25">
      <c r="D624" s="35"/>
    </row>
    <row r="625" spans="4:4" x14ac:dyDescent="0.25">
      <c r="D625" s="35"/>
    </row>
    <row r="626" spans="4:4" x14ac:dyDescent="0.25">
      <c r="D626" s="35"/>
    </row>
    <row r="627" spans="4:4" x14ac:dyDescent="0.25">
      <c r="D627" s="35"/>
    </row>
    <row r="628" spans="4:4" x14ac:dyDescent="0.25">
      <c r="D628" s="35"/>
    </row>
    <row r="629" spans="4:4" x14ac:dyDescent="0.25">
      <c r="D629" s="35"/>
    </row>
    <row r="630" spans="4:4" x14ac:dyDescent="0.25">
      <c r="D630" s="35"/>
    </row>
    <row r="631" spans="4:4" x14ac:dyDescent="0.25">
      <c r="D631" s="35"/>
    </row>
    <row r="632" spans="4:4" x14ac:dyDescent="0.25">
      <c r="D632" s="35"/>
    </row>
    <row r="633" spans="4:4" x14ac:dyDescent="0.25">
      <c r="D633" s="35"/>
    </row>
    <row r="634" spans="4:4" x14ac:dyDescent="0.25">
      <c r="D634" s="35"/>
    </row>
    <row r="635" spans="4:4" x14ac:dyDescent="0.25">
      <c r="D635" s="35"/>
    </row>
    <row r="636" spans="4:4" x14ac:dyDescent="0.25">
      <c r="D636" s="35"/>
    </row>
    <row r="637" spans="4:4" x14ac:dyDescent="0.25">
      <c r="D637" s="35"/>
    </row>
    <row r="638" spans="4:4" x14ac:dyDescent="0.25">
      <c r="D638" s="35"/>
    </row>
    <row r="639" spans="4:4" x14ac:dyDescent="0.25">
      <c r="D639" s="35"/>
    </row>
    <row r="640" spans="4:4" x14ac:dyDescent="0.25">
      <c r="D640" s="35"/>
    </row>
    <row r="641" spans="4:4" x14ac:dyDescent="0.25">
      <c r="D641" s="35"/>
    </row>
    <row r="642" spans="4:4" x14ac:dyDescent="0.25">
      <c r="D642" s="35"/>
    </row>
    <row r="643" spans="4:4" x14ac:dyDescent="0.25">
      <c r="D643" s="35"/>
    </row>
    <row r="644" spans="4:4" x14ac:dyDescent="0.25">
      <c r="D644" s="35"/>
    </row>
    <row r="645" spans="4:4" x14ac:dyDescent="0.25">
      <c r="D645" s="35"/>
    </row>
    <row r="646" spans="4:4" x14ac:dyDescent="0.25">
      <c r="D646" s="35"/>
    </row>
    <row r="647" spans="4:4" x14ac:dyDescent="0.25">
      <c r="D647" s="35"/>
    </row>
    <row r="648" spans="4:4" x14ac:dyDescent="0.25">
      <c r="D648" s="35"/>
    </row>
    <row r="649" spans="4:4" x14ac:dyDescent="0.25">
      <c r="D649" s="35"/>
    </row>
    <row r="650" spans="4:4" x14ac:dyDescent="0.25">
      <c r="D650" s="35"/>
    </row>
    <row r="651" spans="4:4" x14ac:dyDescent="0.25">
      <c r="D651" s="35"/>
    </row>
    <row r="652" spans="4:4" x14ac:dyDescent="0.25">
      <c r="D652" s="35"/>
    </row>
    <row r="653" spans="4:4" x14ac:dyDescent="0.25">
      <c r="D653" s="35"/>
    </row>
    <row r="654" spans="4:4" x14ac:dyDescent="0.25">
      <c r="D654" s="35"/>
    </row>
    <row r="655" spans="4:4" x14ac:dyDescent="0.25">
      <c r="D655" s="35"/>
    </row>
    <row r="656" spans="4:4" x14ac:dyDescent="0.25">
      <c r="D656" s="35"/>
    </row>
    <row r="657" spans="4:4" x14ac:dyDescent="0.25">
      <c r="D657" s="35"/>
    </row>
    <row r="658" spans="4:4" x14ac:dyDescent="0.25">
      <c r="D658" s="35"/>
    </row>
    <row r="659" spans="4:4" x14ac:dyDescent="0.25">
      <c r="D659" s="35"/>
    </row>
    <row r="660" spans="4:4" x14ac:dyDescent="0.25">
      <c r="D660" s="35"/>
    </row>
    <row r="661" spans="4:4" x14ac:dyDescent="0.25">
      <c r="D661" s="35"/>
    </row>
    <row r="662" spans="4:4" x14ac:dyDescent="0.25">
      <c r="D662" s="35"/>
    </row>
    <row r="663" spans="4:4" x14ac:dyDescent="0.25">
      <c r="D663" s="35"/>
    </row>
    <row r="664" spans="4:4" x14ac:dyDescent="0.25">
      <c r="D664" s="35"/>
    </row>
    <row r="665" spans="4:4" x14ac:dyDescent="0.25">
      <c r="D665" s="35"/>
    </row>
    <row r="666" spans="4:4" x14ac:dyDescent="0.25">
      <c r="D666" s="35"/>
    </row>
    <row r="667" spans="4:4" x14ac:dyDescent="0.25">
      <c r="D667" s="35"/>
    </row>
    <row r="668" spans="4:4" x14ac:dyDescent="0.25">
      <c r="D668" s="35"/>
    </row>
    <row r="669" spans="4:4" x14ac:dyDescent="0.25">
      <c r="D669" s="35"/>
    </row>
    <row r="670" spans="4:4" x14ac:dyDescent="0.25">
      <c r="D670" s="35"/>
    </row>
    <row r="671" spans="4:4" x14ac:dyDescent="0.25">
      <c r="D671" s="35"/>
    </row>
    <row r="672" spans="4:4" x14ac:dyDescent="0.25">
      <c r="D672" s="35"/>
    </row>
    <row r="673" spans="4:4" x14ac:dyDescent="0.25">
      <c r="D673" s="35"/>
    </row>
    <row r="674" spans="4:4" x14ac:dyDescent="0.25">
      <c r="D674" s="35"/>
    </row>
    <row r="675" spans="4:4" x14ac:dyDescent="0.25">
      <c r="D675" s="35"/>
    </row>
    <row r="676" spans="4:4" x14ac:dyDescent="0.25">
      <c r="D676" s="35"/>
    </row>
    <row r="677" spans="4:4" x14ac:dyDescent="0.25">
      <c r="D677" s="35"/>
    </row>
    <row r="678" spans="4:4" x14ac:dyDescent="0.25">
      <c r="D678" s="35"/>
    </row>
    <row r="679" spans="4:4" x14ac:dyDescent="0.25">
      <c r="D679" s="35"/>
    </row>
    <row r="680" spans="4:4" x14ac:dyDescent="0.25">
      <c r="D680" s="35"/>
    </row>
    <row r="681" spans="4:4" x14ac:dyDescent="0.25">
      <c r="D681" s="35"/>
    </row>
    <row r="682" spans="4:4" x14ac:dyDescent="0.25">
      <c r="D682" s="35"/>
    </row>
    <row r="683" spans="4:4" x14ac:dyDescent="0.25">
      <c r="D683" s="35"/>
    </row>
    <row r="684" spans="4:4" x14ac:dyDescent="0.25">
      <c r="D684" s="35"/>
    </row>
    <row r="685" spans="4:4" x14ac:dyDescent="0.25">
      <c r="D685" s="35"/>
    </row>
    <row r="686" spans="4:4" x14ac:dyDescent="0.25">
      <c r="D686" s="35"/>
    </row>
    <row r="687" spans="4:4" x14ac:dyDescent="0.25">
      <c r="D687" s="35"/>
    </row>
    <row r="688" spans="4:4" x14ac:dyDescent="0.25">
      <c r="D688" s="35"/>
    </row>
    <row r="689" spans="4:4" x14ac:dyDescent="0.25">
      <c r="D689" s="35"/>
    </row>
    <row r="690" spans="4:4" x14ac:dyDescent="0.25">
      <c r="D690" s="35"/>
    </row>
    <row r="691" spans="4:4" x14ac:dyDescent="0.25">
      <c r="D691" s="35"/>
    </row>
    <row r="692" spans="4:4" x14ac:dyDescent="0.25">
      <c r="D692" s="35"/>
    </row>
    <row r="693" spans="4:4" x14ac:dyDescent="0.25">
      <c r="D693" s="35"/>
    </row>
    <row r="694" spans="4:4" x14ac:dyDescent="0.25">
      <c r="D694" s="35"/>
    </row>
    <row r="695" spans="4:4" x14ac:dyDescent="0.25">
      <c r="D695" s="35"/>
    </row>
    <row r="696" spans="4:4" x14ac:dyDescent="0.25">
      <c r="D696" s="35"/>
    </row>
    <row r="697" spans="4:4" x14ac:dyDescent="0.25">
      <c r="D697" s="35"/>
    </row>
    <row r="698" spans="4:4" x14ac:dyDescent="0.25">
      <c r="D698" s="35"/>
    </row>
    <row r="699" spans="4:4" x14ac:dyDescent="0.25">
      <c r="D699" s="35"/>
    </row>
    <row r="700" spans="4:4" x14ac:dyDescent="0.25">
      <c r="D700" s="35"/>
    </row>
    <row r="701" spans="4:4" x14ac:dyDescent="0.25">
      <c r="D701" s="35"/>
    </row>
    <row r="702" spans="4:4" x14ac:dyDescent="0.25">
      <c r="D702" s="35"/>
    </row>
    <row r="703" spans="4:4" x14ac:dyDescent="0.25">
      <c r="D703" s="35"/>
    </row>
    <row r="704" spans="4:4" x14ac:dyDescent="0.25">
      <c r="D704" s="35"/>
    </row>
    <row r="705" spans="4:4" x14ac:dyDescent="0.25">
      <c r="D705" s="35"/>
    </row>
    <row r="706" spans="4:4" x14ac:dyDescent="0.25">
      <c r="D706" s="35"/>
    </row>
    <row r="707" spans="4:4" x14ac:dyDescent="0.25">
      <c r="D707" s="35"/>
    </row>
    <row r="708" spans="4:4" x14ac:dyDescent="0.25">
      <c r="D708" s="35"/>
    </row>
    <row r="709" spans="4:4" x14ac:dyDescent="0.25">
      <c r="D709" s="35"/>
    </row>
    <row r="710" spans="4:4" x14ac:dyDescent="0.25">
      <c r="D710" s="35"/>
    </row>
    <row r="711" spans="4:4" x14ac:dyDescent="0.25">
      <c r="D711" s="35"/>
    </row>
    <row r="712" spans="4:4" x14ac:dyDescent="0.25">
      <c r="D712" s="35"/>
    </row>
    <row r="713" spans="4:4" x14ac:dyDescent="0.25">
      <c r="D713" s="35"/>
    </row>
    <row r="714" spans="4:4" x14ac:dyDescent="0.25">
      <c r="D714" s="35"/>
    </row>
    <row r="715" spans="4:4" x14ac:dyDescent="0.25">
      <c r="D715" s="35"/>
    </row>
    <row r="716" spans="4:4" x14ac:dyDescent="0.25">
      <c r="D716" s="35"/>
    </row>
    <row r="717" spans="4:4" x14ac:dyDescent="0.25">
      <c r="D717" s="35"/>
    </row>
    <row r="718" spans="4:4" x14ac:dyDescent="0.25">
      <c r="D718" s="35"/>
    </row>
    <row r="719" spans="4:4" x14ac:dyDescent="0.25">
      <c r="D719" s="35"/>
    </row>
    <row r="720" spans="4:4" x14ac:dyDescent="0.25">
      <c r="D720" s="35"/>
    </row>
    <row r="721" spans="4:4" x14ac:dyDescent="0.25">
      <c r="D721" s="35"/>
    </row>
    <row r="722" spans="4:4" x14ac:dyDescent="0.25">
      <c r="D722" s="35"/>
    </row>
    <row r="723" spans="4:4" x14ac:dyDescent="0.25">
      <c r="D723" s="35"/>
    </row>
    <row r="724" spans="4:4" x14ac:dyDescent="0.25">
      <c r="D724" s="35"/>
    </row>
    <row r="725" spans="4:4" x14ac:dyDescent="0.25">
      <c r="D725" s="35"/>
    </row>
    <row r="726" spans="4:4" x14ac:dyDescent="0.25">
      <c r="D726" s="35"/>
    </row>
    <row r="727" spans="4:4" x14ac:dyDescent="0.25">
      <c r="D727" s="35"/>
    </row>
    <row r="728" spans="4:4" x14ac:dyDescent="0.25">
      <c r="D728" s="35"/>
    </row>
    <row r="729" spans="4:4" x14ac:dyDescent="0.25">
      <c r="D729" s="35"/>
    </row>
    <row r="730" spans="4:4" x14ac:dyDescent="0.25">
      <c r="D730" s="35"/>
    </row>
    <row r="731" spans="4:4" x14ac:dyDescent="0.25">
      <c r="D731" s="35"/>
    </row>
    <row r="732" spans="4:4" x14ac:dyDescent="0.25">
      <c r="D732" s="35"/>
    </row>
    <row r="733" spans="4:4" x14ac:dyDescent="0.25">
      <c r="D733" s="35"/>
    </row>
    <row r="734" spans="4:4" x14ac:dyDescent="0.25">
      <c r="D734" s="35"/>
    </row>
    <row r="735" spans="4:4" x14ac:dyDescent="0.25">
      <c r="D735" s="35"/>
    </row>
    <row r="736" spans="4:4" x14ac:dyDescent="0.25">
      <c r="D736" s="35"/>
    </row>
    <row r="737" spans="4:4" x14ac:dyDescent="0.25">
      <c r="D737" s="35"/>
    </row>
    <row r="738" spans="4:4" x14ac:dyDescent="0.25">
      <c r="D738" s="35"/>
    </row>
    <row r="739" spans="4:4" x14ac:dyDescent="0.25">
      <c r="D739" s="35"/>
    </row>
    <row r="740" spans="4:4" x14ac:dyDescent="0.25">
      <c r="D740" s="35"/>
    </row>
    <row r="741" spans="4:4" x14ac:dyDescent="0.25">
      <c r="D741" s="35"/>
    </row>
    <row r="742" spans="4:4" x14ac:dyDescent="0.25">
      <c r="D742" s="35"/>
    </row>
    <row r="743" spans="4:4" x14ac:dyDescent="0.25">
      <c r="D743" s="35"/>
    </row>
    <row r="744" spans="4:4" x14ac:dyDescent="0.25">
      <c r="D744" s="35"/>
    </row>
    <row r="745" spans="4:4" x14ac:dyDescent="0.25">
      <c r="D745" s="35"/>
    </row>
    <row r="746" spans="4:4" x14ac:dyDescent="0.25">
      <c r="D746" s="35"/>
    </row>
    <row r="747" spans="4:4" x14ac:dyDescent="0.25">
      <c r="D747" s="35"/>
    </row>
    <row r="748" spans="4:4" x14ac:dyDescent="0.25">
      <c r="D748" s="35"/>
    </row>
    <row r="749" spans="4:4" x14ac:dyDescent="0.25">
      <c r="D749" s="35"/>
    </row>
    <row r="750" spans="4:4" x14ac:dyDescent="0.25">
      <c r="D750" s="35"/>
    </row>
    <row r="751" spans="4:4" x14ac:dyDescent="0.25">
      <c r="D751" s="35"/>
    </row>
    <row r="752" spans="4:4" x14ac:dyDescent="0.25">
      <c r="D752" s="35"/>
    </row>
    <row r="753" spans="4:4" x14ac:dyDescent="0.25">
      <c r="D753" s="35"/>
    </row>
    <row r="754" spans="4:4" x14ac:dyDescent="0.25">
      <c r="D754" s="35"/>
    </row>
    <row r="755" spans="4:4" x14ac:dyDescent="0.25">
      <c r="D755" s="35"/>
    </row>
    <row r="756" spans="4:4" x14ac:dyDescent="0.25">
      <c r="D756" s="35"/>
    </row>
    <row r="757" spans="4:4" x14ac:dyDescent="0.25">
      <c r="D757" s="35"/>
    </row>
    <row r="758" spans="4:4" x14ac:dyDescent="0.25">
      <c r="D758" s="35"/>
    </row>
    <row r="759" spans="4:4" x14ac:dyDescent="0.25">
      <c r="D759" s="35"/>
    </row>
    <row r="760" spans="4:4" x14ac:dyDescent="0.25">
      <c r="D760" s="35"/>
    </row>
    <row r="761" spans="4:4" x14ac:dyDescent="0.25">
      <c r="D761" s="35"/>
    </row>
    <row r="762" spans="4:4" x14ac:dyDescent="0.25">
      <c r="D762" s="35"/>
    </row>
    <row r="763" spans="4:4" x14ac:dyDescent="0.25">
      <c r="D763" s="35"/>
    </row>
    <row r="764" spans="4:4" x14ac:dyDescent="0.25">
      <c r="D764" s="35"/>
    </row>
    <row r="765" spans="4:4" x14ac:dyDescent="0.25">
      <c r="D765" s="35"/>
    </row>
    <row r="766" spans="4:4" x14ac:dyDescent="0.25">
      <c r="D766" s="35"/>
    </row>
    <row r="767" spans="4:4" x14ac:dyDescent="0.25">
      <c r="D767" s="35"/>
    </row>
    <row r="768" spans="4:4" x14ac:dyDescent="0.25">
      <c r="D768" s="35"/>
    </row>
    <row r="769" spans="4:4" x14ac:dyDescent="0.25">
      <c r="D769" s="35"/>
    </row>
    <row r="770" spans="4:4" x14ac:dyDescent="0.25">
      <c r="D770" s="35"/>
    </row>
    <row r="771" spans="4:4" x14ac:dyDescent="0.25">
      <c r="D771" s="35"/>
    </row>
    <row r="772" spans="4:4" x14ac:dyDescent="0.25">
      <c r="D772" s="35"/>
    </row>
    <row r="773" spans="4:4" x14ac:dyDescent="0.25">
      <c r="D773" s="35"/>
    </row>
    <row r="774" spans="4:4" x14ac:dyDescent="0.25">
      <c r="D774" s="35"/>
    </row>
    <row r="775" spans="4:4" x14ac:dyDescent="0.25">
      <c r="D775" s="35"/>
    </row>
    <row r="776" spans="4:4" x14ac:dyDescent="0.25">
      <c r="D776" s="35"/>
    </row>
    <row r="777" spans="4:4" x14ac:dyDescent="0.25">
      <c r="D777" s="35"/>
    </row>
    <row r="778" spans="4:4" x14ac:dyDescent="0.25">
      <c r="D778" s="35"/>
    </row>
    <row r="779" spans="4:4" x14ac:dyDescent="0.25">
      <c r="D779" s="35"/>
    </row>
    <row r="780" spans="4:4" x14ac:dyDescent="0.25">
      <c r="D780" s="35"/>
    </row>
    <row r="781" spans="4:4" x14ac:dyDescent="0.25">
      <c r="D781" s="35"/>
    </row>
    <row r="782" spans="4:4" x14ac:dyDescent="0.25">
      <c r="D782" s="35"/>
    </row>
    <row r="783" spans="4:4" x14ac:dyDescent="0.25">
      <c r="D783" s="35"/>
    </row>
    <row r="784" spans="4:4" x14ac:dyDescent="0.25">
      <c r="D784" s="35"/>
    </row>
    <row r="785" spans="4:4" x14ac:dyDescent="0.25">
      <c r="D785" s="35"/>
    </row>
    <row r="786" spans="4:4" x14ac:dyDescent="0.25">
      <c r="D786" s="35"/>
    </row>
    <row r="787" spans="4:4" x14ac:dyDescent="0.25">
      <c r="D787" s="35"/>
    </row>
    <row r="788" spans="4:4" x14ac:dyDescent="0.25">
      <c r="D788" s="35"/>
    </row>
    <row r="789" spans="4:4" x14ac:dyDescent="0.25">
      <c r="D789" s="35"/>
    </row>
    <row r="790" spans="4:4" x14ac:dyDescent="0.25">
      <c r="D790" s="35"/>
    </row>
    <row r="791" spans="4:4" x14ac:dyDescent="0.25">
      <c r="D791" s="35"/>
    </row>
    <row r="792" spans="4:4" x14ac:dyDescent="0.25">
      <c r="D792" s="35"/>
    </row>
    <row r="793" spans="4:4" x14ac:dyDescent="0.25">
      <c r="D793" s="35"/>
    </row>
    <row r="794" spans="4:4" x14ac:dyDescent="0.25">
      <c r="D794" s="35"/>
    </row>
    <row r="795" spans="4:4" x14ac:dyDescent="0.25">
      <c r="D795" s="35"/>
    </row>
    <row r="796" spans="4:4" x14ac:dyDescent="0.25">
      <c r="D796" s="35"/>
    </row>
    <row r="797" spans="4:4" x14ac:dyDescent="0.25">
      <c r="D797" s="35"/>
    </row>
    <row r="798" spans="4:4" x14ac:dyDescent="0.25">
      <c r="D798" s="35"/>
    </row>
    <row r="799" spans="4:4" x14ac:dyDescent="0.25">
      <c r="D799" s="35"/>
    </row>
    <row r="800" spans="4:4" x14ac:dyDescent="0.25">
      <c r="D800" s="35"/>
    </row>
    <row r="801" spans="4:4" x14ac:dyDescent="0.25">
      <c r="D801" s="35"/>
    </row>
    <row r="802" spans="4:4" x14ac:dyDescent="0.25">
      <c r="D802" s="35"/>
    </row>
    <row r="803" spans="4:4" x14ac:dyDescent="0.25">
      <c r="D803" s="35"/>
    </row>
    <row r="804" spans="4:4" x14ac:dyDescent="0.25">
      <c r="D804" s="35"/>
    </row>
    <row r="805" spans="4:4" x14ac:dyDescent="0.25">
      <c r="D805" s="35"/>
    </row>
    <row r="806" spans="4:4" x14ac:dyDescent="0.25">
      <c r="D806" s="35"/>
    </row>
    <row r="807" spans="4:4" x14ac:dyDescent="0.25">
      <c r="D807" s="35"/>
    </row>
    <row r="808" spans="4:4" x14ac:dyDescent="0.25">
      <c r="D808" s="35"/>
    </row>
    <row r="809" spans="4:4" x14ac:dyDescent="0.25">
      <c r="D809" s="35"/>
    </row>
    <row r="810" spans="4:4" x14ac:dyDescent="0.25">
      <c r="D810" s="35"/>
    </row>
    <row r="811" spans="4:4" x14ac:dyDescent="0.25">
      <c r="D811" s="35"/>
    </row>
    <row r="812" spans="4:4" x14ac:dyDescent="0.25">
      <c r="D812" s="35"/>
    </row>
    <row r="813" spans="4:4" x14ac:dyDescent="0.25">
      <c r="D813" s="35"/>
    </row>
    <row r="814" spans="4:4" x14ac:dyDescent="0.25">
      <c r="D814" s="35"/>
    </row>
    <row r="815" spans="4:4" x14ac:dyDescent="0.25">
      <c r="D815" s="35"/>
    </row>
    <row r="816" spans="4:4" x14ac:dyDescent="0.25">
      <c r="D816" s="35"/>
    </row>
    <row r="817" spans="4:4" x14ac:dyDescent="0.25">
      <c r="D817" s="35"/>
    </row>
    <row r="818" spans="4:4" x14ac:dyDescent="0.25">
      <c r="D818" s="35"/>
    </row>
    <row r="819" spans="4:4" x14ac:dyDescent="0.25">
      <c r="D819" s="35"/>
    </row>
    <row r="820" spans="4:4" x14ac:dyDescent="0.25">
      <c r="D820" s="35"/>
    </row>
    <row r="821" spans="4:4" x14ac:dyDescent="0.25">
      <c r="D821" s="35"/>
    </row>
    <row r="822" spans="4:4" x14ac:dyDescent="0.25">
      <c r="D822" s="35"/>
    </row>
    <row r="823" spans="4:4" x14ac:dyDescent="0.25">
      <c r="D823" s="35"/>
    </row>
    <row r="824" spans="4:4" x14ac:dyDescent="0.25">
      <c r="D824" s="35"/>
    </row>
    <row r="825" spans="4:4" x14ac:dyDescent="0.25">
      <c r="D825" s="35"/>
    </row>
    <row r="826" spans="4:4" x14ac:dyDescent="0.25">
      <c r="D826" s="35"/>
    </row>
    <row r="827" spans="4:4" x14ac:dyDescent="0.25">
      <c r="D827" s="35"/>
    </row>
    <row r="828" spans="4:4" x14ac:dyDescent="0.25">
      <c r="D828" s="35"/>
    </row>
    <row r="829" spans="4:4" x14ac:dyDescent="0.25">
      <c r="D829" s="35"/>
    </row>
    <row r="830" spans="4:4" x14ac:dyDescent="0.25">
      <c r="D830" s="35"/>
    </row>
    <row r="831" spans="4:4" x14ac:dyDescent="0.25">
      <c r="D831" s="35"/>
    </row>
    <row r="832" spans="4:4" x14ac:dyDescent="0.25">
      <c r="D832" s="35"/>
    </row>
    <row r="833" spans="4:4" x14ac:dyDescent="0.25">
      <c r="D833" s="35"/>
    </row>
    <row r="834" spans="4:4" x14ac:dyDescent="0.25">
      <c r="D834" s="35"/>
    </row>
    <row r="835" spans="4:4" x14ac:dyDescent="0.25">
      <c r="D835" s="35"/>
    </row>
    <row r="836" spans="4:4" x14ac:dyDescent="0.25">
      <c r="D836" s="35"/>
    </row>
    <row r="837" spans="4:4" x14ac:dyDescent="0.25">
      <c r="D837" s="35"/>
    </row>
    <row r="838" spans="4:4" x14ac:dyDescent="0.25">
      <c r="D838" s="35"/>
    </row>
    <row r="839" spans="4:4" x14ac:dyDescent="0.25">
      <c r="D839" s="35"/>
    </row>
    <row r="840" spans="4:4" x14ac:dyDescent="0.25">
      <c r="D840" s="35"/>
    </row>
    <row r="841" spans="4:4" x14ac:dyDescent="0.25">
      <c r="D841" s="35"/>
    </row>
    <row r="842" spans="4:4" x14ac:dyDescent="0.25">
      <c r="D842" s="35"/>
    </row>
    <row r="843" spans="4:4" x14ac:dyDescent="0.25">
      <c r="D843" s="35"/>
    </row>
    <row r="844" spans="4:4" x14ac:dyDescent="0.25">
      <c r="D844" s="35"/>
    </row>
    <row r="845" spans="4:4" x14ac:dyDescent="0.25">
      <c r="D845" s="35"/>
    </row>
    <row r="846" spans="4:4" x14ac:dyDescent="0.25">
      <c r="D846" s="35"/>
    </row>
    <row r="847" spans="4:4" x14ac:dyDescent="0.25">
      <c r="D847" s="35"/>
    </row>
    <row r="848" spans="4:4" x14ac:dyDescent="0.25">
      <c r="D848" s="35"/>
    </row>
    <row r="849" spans="4:4" x14ac:dyDescent="0.25">
      <c r="D849" s="35"/>
    </row>
    <row r="850" spans="4:4" x14ac:dyDescent="0.25">
      <c r="D850" s="35"/>
    </row>
    <row r="851" spans="4:4" x14ac:dyDescent="0.25">
      <c r="D851" s="35"/>
    </row>
    <row r="852" spans="4:4" x14ac:dyDescent="0.25">
      <c r="D852" s="35"/>
    </row>
    <row r="853" spans="4:4" x14ac:dyDescent="0.25">
      <c r="D853" s="35"/>
    </row>
    <row r="854" spans="4:4" x14ac:dyDescent="0.25">
      <c r="D854" s="35"/>
    </row>
    <row r="855" spans="4:4" x14ac:dyDescent="0.25">
      <c r="D855" s="35"/>
    </row>
    <row r="856" spans="4:4" x14ac:dyDescent="0.25">
      <c r="D856" s="35"/>
    </row>
    <row r="857" spans="4:4" x14ac:dyDescent="0.25">
      <c r="D857" s="35"/>
    </row>
    <row r="858" spans="4:4" x14ac:dyDescent="0.25">
      <c r="D858" s="35"/>
    </row>
    <row r="859" spans="4:4" x14ac:dyDescent="0.25">
      <c r="D859" s="35"/>
    </row>
    <row r="860" spans="4:4" x14ac:dyDescent="0.25">
      <c r="D860" s="35"/>
    </row>
    <row r="861" spans="4:4" x14ac:dyDescent="0.25">
      <c r="D861" s="35"/>
    </row>
    <row r="862" spans="4:4" x14ac:dyDescent="0.25">
      <c r="D862" s="35"/>
    </row>
    <row r="863" spans="4:4" x14ac:dyDescent="0.25">
      <c r="D863" s="35"/>
    </row>
    <row r="864" spans="4:4" x14ac:dyDescent="0.25">
      <c r="D864" s="35"/>
    </row>
    <row r="865" spans="4:4" x14ac:dyDescent="0.25">
      <c r="D865" s="35"/>
    </row>
    <row r="866" spans="4:4" x14ac:dyDescent="0.25">
      <c r="D866" s="35"/>
    </row>
    <row r="867" spans="4:4" x14ac:dyDescent="0.25">
      <c r="D867" s="35"/>
    </row>
    <row r="868" spans="4:4" x14ac:dyDescent="0.25">
      <c r="D868" s="35"/>
    </row>
    <row r="869" spans="4:4" x14ac:dyDescent="0.25">
      <c r="D869" s="35"/>
    </row>
    <row r="870" spans="4:4" x14ac:dyDescent="0.25">
      <c r="D870" s="35"/>
    </row>
    <row r="871" spans="4:4" x14ac:dyDescent="0.25">
      <c r="D871" s="35"/>
    </row>
    <row r="872" spans="4:4" x14ac:dyDescent="0.25">
      <c r="D872" s="35"/>
    </row>
    <row r="873" spans="4:4" x14ac:dyDescent="0.25">
      <c r="D873" s="35"/>
    </row>
    <row r="874" spans="4:4" x14ac:dyDescent="0.25">
      <c r="D874" s="35"/>
    </row>
    <row r="875" spans="4:4" x14ac:dyDescent="0.25">
      <c r="D875" s="35"/>
    </row>
    <row r="876" spans="4:4" x14ac:dyDescent="0.25">
      <c r="D876" s="35"/>
    </row>
    <row r="877" spans="4:4" x14ac:dyDescent="0.25">
      <c r="D877" s="35"/>
    </row>
    <row r="878" spans="4:4" x14ac:dyDescent="0.25">
      <c r="D878" s="35"/>
    </row>
    <row r="879" spans="4:4" x14ac:dyDescent="0.25">
      <c r="D879" s="35"/>
    </row>
    <row r="880" spans="4:4" x14ac:dyDescent="0.25">
      <c r="D880" s="35"/>
    </row>
    <row r="881" spans="4:4" x14ac:dyDescent="0.25">
      <c r="D881" s="35"/>
    </row>
    <row r="882" spans="4:4" x14ac:dyDescent="0.25">
      <c r="D882" s="35"/>
    </row>
    <row r="883" spans="4:4" x14ac:dyDescent="0.25">
      <c r="D883" s="35"/>
    </row>
    <row r="884" spans="4:4" x14ac:dyDescent="0.25">
      <c r="D884" s="35"/>
    </row>
    <row r="885" spans="4:4" x14ac:dyDescent="0.25">
      <c r="D885" s="35"/>
    </row>
    <row r="886" spans="4:4" x14ac:dyDescent="0.25">
      <c r="D886" s="35"/>
    </row>
    <row r="887" spans="4:4" x14ac:dyDescent="0.25">
      <c r="D887" s="35"/>
    </row>
    <row r="888" spans="4:4" x14ac:dyDescent="0.25">
      <c r="D888" s="35"/>
    </row>
    <row r="889" spans="4:4" x14ac:dyDescent="0.25">
      <c r="D889" s="35"/>
    </row>
    <row r="890" spans="4:4" x14ac:dyDescent="0.25">
      <c r="D890" s="35"/>
    </row>
    <row r="891" spans="4:4" x14ac:dyDescent="0.25">
      <c r="D891" s="35"/>
    </row>
    <row r="892" spans="4:4" x14ac:dyDescent="0.25">
      <c r="D892" s="35"/>
    </row>
    <row r="893" spans="4:4" x14ac:dyDescent="0.25">
      <c r="D893" s="35"/>
    </row>
    <row r="894" spans="4:4" x14ac:dyDescent="0.25">
      <c r="D894" s="35"/>
    </row>
    <row r="895" spans="4:4" x14ac:dyDescent="0.25">
      <c r="D895" s="35"/>
    </row>
    <row r="896" spans="4:4" x14ac:dyDescent="0.25">
      <c r="D896" s="35"/>
    </row>
    <row r="897" spans="4:4" x14ac:dyDescent="0.25">
      <c r="D897" s="35"/>
    </row>
    <row r="898" spans="4:4" x14ac:dyDescent="0.25">
      <c r="D898" s="35"/>
    </row>
    <row r="899" spans="4:4" x14ac:dyDescent="0.25">
      <c r="D899" s="35"/>
    </row>
    <row r="900" spans="4:4" x14ac:dyDescent="0.25">
      <c r="D900" s="35"/>
    </row>
    <row r="901" spans="4:4" x14ac:dyDescent="0.25">
      <c r="D901" s="35"/>
    </row>
    <row r="902" spans="4:4" x14ac:dyDescent="0.25">
      <c r="D902" s="35"/>
    </row>
    <row r="903" spans="4:4" x14ac:dyDescent="0.25">
      <c r="D903" s="35"/>
    </row>
    <row r="904" spans="4:4" x14ac:dyDescent="0.25">
      <c r="D904" s="35"/>
    </row>
    <row r="905" spans="4:4" x14ac:dyDescent="0.25">
      <c r="D905" s="35"/>
    </row>
    <row r="906" spans="4:4" x14ac:dyDescent="0.25">
      <c r="D906" s="35"/>
    </row>
    <row r="907" spans="4:4" x14ac:dyDescent="0.25">
      <c r="D907" s="35"/>
    </row>
    <row r="908" spans="4:4" x14ac:dyDescent="0.25">
      <c r="D908" s="35"/>
    </row>
    <row r="909" spans="4:4" x14ac:dyDescent="0.25">
      <c r="D909" s="35"/>
    </row>
    <row r="910" spans="4:4" x14ac:dyDescent="0.25">
      <c r="D910" s="35"/>
    </row>
    <row r="911" spans="4:4" x14ac:dyDescent="0.25">
      <c r="D911" s="35"/>
    </row>
    <row r="912" spans="4:4" x14ac:dyDescent="0.25">
      <c r="D912" s="35"/>
    </row>
    <row r="913" spans="4:4" x14ac:dyDescent="0.25">
      <c r="D913" s="35"/>
    </row>
    <row r="914" spans="4:4" x14ac:dyDescent="0.25">
      <c r="D914" s="35"/>
    </row>
    <row r="915" spans="4:4" x14ac:dyDescent="0.25">
      <c r="D915" s="35"/>
    </row>
    <row r="916" spans="4:4" x14ac:dyDescent="0.25">
      <c r="D916" s="35"/>
    </row>
    <row r="917" spans="4:4" x14ac:dyDescent="0.25">
      <c r="D917" s="35"/>
    </row>
    <row r="918" spans="4:4" x14ac:dyDescent="0.25">
      <c r="D918" s="35"/>
    </row>
    <row r="919" spans="4:4" x14ac:dyDescent="0.25">
      <c r="D919" s="35"/>
    </row>
    <row r="920" spans="4:4" x14ac:dyDescent="0.25">
      <c r="D920" s="35"/>
    </row>
    <row r="921" spans="4:4" x14ac:dyDescent="0.25">
      <c r="D921" s="35"/>
    </row>
    <row r="922" spans="4:4" x14ac:dyDescent="0.25">
      <c r="D922" s="35"/>
    </row>
    <row r="923" spans="4:4" x14ac:dyDescent="0.25">
      <c r="D923" s="35"/>
    </row>
    <row r="924" spans="4:4" x14ac:dyDescent="0.25">
      <c r="D924" s="35"/>
    </row>
    <row r="925" spans="4:4" x14ac:dyDescent="0.25">
      <c r="D925" s="35"/>
    </row>
    <row r="926" spans="4:4" x14ac:dyDescent="0.25">
      <c r="D926" s="35"/>
    </row>
    <row r="927" spans="4:4" x14ac:dyDescent="0.25">
      <c r="D927" s="35"/>
    </row>
    <row r="928" spans="4:4" x14ac:dyDescent="0.25">
      <c r="D928" s="35"/>
    </row>
    <row r="929" spans="4:4" x14ac:dyDescent="0.25">
      <c r="D929" s="35"/>
    </row>
    <row r="930" spans="4:4" x14ac:dyDescent="0.25">
      <c r="D930" s="35"/>
    </row>
    <row r="931" spans="4:4" x14ac:dyDescent="0.25">
      <c r="D931" s="35"/>
    </row>
    <row r="932" spans="4:4" x14ac:dyDescent="0.25">
      <c r="D932" s="35"/>
    </row>
    <row r="933" spans="4:4" x14ac:dyDescent="0.25">
      <c r="D933" s="35"/>
    </row>
    <row r="934" spans="4:4" x14ac:dyDescent="0.25">
      <c r="D934" s="35"/>
    </row>
    <row r="935" spans="4:4" x14ac:dyDescent="0.25">
      <c r="D935" s="35"/>
    </row>
    <row r="936" spans="4:4" x14ac:dyDescent="0.25">
      <c r="D936" s="35"/>
    </row>
    <row r="937" spans="4:4" x14ac:dyDescent="0.25">
      <c r="D937" s="35"/>
    </row>
    <row r="938" spans="4:4" x14ac:dyDescent="0.25">
      <c r="D938" s="35"/>
    </row>
    <row r="939" spans="4:4" x14ac:dyDescent="0.25">
      <c r="D939" s="35"/>
    </row>
    <row r="940" spans="4:4" x14ac:dyDescent="0.25">
      <c r="D940" s="35"/>
    </row>
    <row r="941" spans="4:4" x14ac:dyDescent="0.25">
      <c r="D941" s="35"/>
    </row>
    <row r="942" spans="4:4" x14ac:dyDescent="0.25">
      <c r="D942" s="35"/>
    </row>
    <row r="943" spans="4:4" x14ac:dyDescent="0.25">
      <c r="D943" s="35"/>
    </row>
    <row r="944" spans="4:4" x14ac:dyDescent="0.25">
      <c r="D944" s="35"/>
    </row>
    <row r="945" spans="4:4" x14ac:dyDescent="0.25">
      <c r="D945" s="35"/>
    </row>
    <row r="946" spans="4:4" x14ac:dyDescent="0.25">
      <c r="D946" s="35"/>
    </row>
    <row r="947" spans="4:4" x14ac:dyDescent="0.25">
      <c r="D947" s="35"/>
    </row>
    <row r="948" spans="4:4" x14ac:dyDescent="0.25">
      <c r="D948" s="35"/>
    </row>
    <row r="949" spans="4:4" x14ac:dyDescent="0.25">
      <c r="D949" s="35"/>
    </row>
    <row r="950" spans="4:4" x14ac:dyDescent="0.25">
      <c r="D950" s="35"/>
    </row>
    <row r="951" spans="4:4" x14ac:dyDescent="0.25">
      <c r="D951" s="35"/>
    </row>
    <row r="952" spans="4:4" x14ac:dyDescent="0.25">
      <c r="D952" s="35"/>
    </row>
    <row r="953" spans="4:4" x14ac:dyDescent="0.25">
      <c r="D953" s="35"/>
    </row>
    <row r="954" spans="4:4" x14ac:dyDescent="0.25">
      <c r="D954" s="35"/>
    </row>
    <row r="955" spans="4:4" x14ac:dyDescent="0.25">
      <c r="D955" s="35"/>
    </row>
    <row r="956" spans="4:4" x14ac:dyDescent="0.25">
      <c r="D956" s="35"/>
    </row>
    <row r="957" spans="4:4" x14ac:dyDescent="0.25">
      <c r="D957" s="35"/>
    </row>
    <row r="958" spans="4:4" x14ac:dyDescent="0.25">
      <c r="D958" s="35"/>
    </row>
    <row r="959" spans="4:4" x14ac:dyDescent="0.25">
      <c r="D959" s="35"/>
    </row>
    <row r="960" spans="4:4" x14ac:dyDescent="0.25">
      <c r="D960" s="35"/>
    </row>
    <row r="961" spans="4:4" x14ac:dyDescent="0.25">
      <c r="D961" s="35"/>
    </row>
    <row r="962" spans="4:4" x14ac:dyDescent="0.25">
      <c r="D962" s="35"/>
    </row>
    <row r="963" spans="4:4" x14ac:dyDescent="0.25">
      <c r="D963" s="35"/>
    </row>
    <row r="964" spans="4:4" x14ac:dyDescent="0.25">
      <c r="D964" s="35"/>
    </row>
    <row r="965" spans="4:4" x14ac:dyDescent="0.25">
      <c r="D965" s="35"/>
    </row>
    <row r="966" spans="4:4" x14ac:dyDescent="0.25">
      <c r="D966" s="35"/>
    </row>
    <row r="967" spans="4:4" x14ac:dyDescent="0.25">
      <c r="D967" s="35"/>
    </row>
    <row r="968" spans="4:4" x14ac:dyDescent="0.25">
      <c r="D968" s="35"/>
    </row>
    <row r="969" spans="4:4" x14ac:dyDescent="0.25">
      <c r="D969" s="35"/>
    </row>
    <row r="970" spans="4:4" x14ac:dyDescent="0.25">
      <c r="D970" s="35"/>
    </row>
    <row r="971" spans="4:4" x14ac:dyDescent="0.25">
      <c r="D971" s="35"/>
    </row>
    <row r="972" spans="4:4" x14ac:dyDescent="0.25">
      <c r="D972" s="35"/>
    </row>
    <row r="973" spans="4:4" x14ac:dyDescent="0.25">
      <c r="D973" s="35"/>
    </row>
    <row r="974" spans="4:4" x14ac:dyDescent="0.25">
      <c r="D974" s="35"/>
    </row>
    <row r="975" spans="4:4" x14ac:dyDescent="0.25">
      <c r="D975" s="35"/>
    </row>
    <row r="976" spans="4:4" x14ac:dyDescent="0.25">
      <c r="D976" s="35"/>
    </row>
    <row r="977" spans="4:4" x14ac:dyDescent="0.25">
      <c r="D977" s="35"/>
    </row>
    <row r="978" spans="4:4" x14ac:dyDescent="0.25">
      <c r="D978" s="35"/>
    </row>
    <row r="979" spans="4:4" x14ac:dyDescent="0.25">
      <c r="D979" s="35"/>
    </row>
    <row r="980" spans="4:4" x14ac:dyDescent="0.25">
      <c r="D980" s="35"/>
    </row>
    <row r="981" spans="4:4" x14ac:dyDescent="0.25">
      <c r="D981" s="35"/>
    </row>
    <row r="982" spans="4:4" x14ac:dyDescent="0.25">
      <c r="D982" s="35"/>
    </row>
    <row r="983" spans="4:4" x14ac:dyDescent="0.25">
      <c r="D983" s="35"/>
    </row>
    <row r="984" spans="4:4" x14ac:dyDescent="0.25">
      <c r="D984" s="35"/>
    </row>
    <row r="985" spans="4:4" x14ac:dyDescent="0.25">
      <c r="D985" s="35"/>
    </row>
    <row r="986" spans="4:4" x14ac:dyDescent="0.25">
      <c r="D986" s="35"/>
    </row>
    <row r="987" spans="4:4" x14ac:dyDescent="0.25">
      <c r="D987" s="35"/>
    </row>
    <row r="988" spans="4:4" x14ac:dyDescent="0.25">
      <c r="D988" s="35"/>
    </row>
    <row r="989" spans="4:4" x14ac:dyDescent="0.25">
      <c r="D989" s="35"/>
    </row>
    <row r="990" spans="4:4" x14ac:dyDescent="0.25">
      <c r="D990" s="35"/>
    </row>
    <row r="991" spans="4:4" x14ac:dyDescent="0.25">
      <c r="D991" s="35"/>
    </row>
    <row r="992" spans="4:4" x14ac:dyDescent="0.25">
      <c r="D992" s="35"/>
    </row>
    <row r="993" spans="4:4" x14ac:dyDescent="0.25">
      <c r="D993" s="35"/>
    </row>
    <row r="994" spans="4:4" x14ac:dyDescent="0.25">
      <c r="D994" s="35"/>
    </row>
    <row r="995" spans="4:4" x14ac:dyDescent="0.25">
      <c r="D995" s="35"/>
    </row>
    <row r="996" spans="4:4" x14ac:dyDescent="0.25">
      <c r="D996" s="35"/>
    </row>
    <row r="997" spans="4:4" x14ac:dyDescent="0.25">
      <c r="D997" s="35"/>
    </row>
    <row r="998" spans="4:4" x14ac:dyDescent="0.25">
      <c r="D998" s="35"/>
    </row>
    <row r="999" spans="4:4" x14ac:dyDescent="0.25">
      <c r="D999" s="35"/>
    </row>
    <row r="1000" spans="4:4" x14ac:dyDescent="0.25">
      <c r="D1000" s="35"/>
    </row>
    <row r="1001" spans="4:4" x14ac:dyDescent="0.25">
      <c r="D1001" s="35"/>
    </row>
    <row r="1002" spans="4:4" x14ac:dyDescent="0.25">
      <c r="D1002" s="35"/>
    </row>
    <row r="1003" spans="4:4" x14ac:dyDescent="0.25">
      <c r="D1003" s="35"/>
    </row>
    <row r="1004" spans="4:4" x14ac:dyDescent="0.25">
      <c r="D1004" s="35"/>
    </row>
    <row r="1005" spans="4:4" x14ac:dyDescent="0.25">
      <c r="D1005" s="35"/>
    </row>
    <row r="1006" spans="4:4" x14ac:dyDescent="0.25">
      <c r="D1006" s="35"/>
    </row>
    <row r="1007" spans="4:4" x14ac:dyDescent="0.25">
      <c r="D1007" s="35"/>
    </row>
    <row r="1008" spans="4:4" x14ac:dyDescent="0.25">
      <c r="D1008" s="35"/>
    </row>
    <row r="1009" spans="4:4" x14ac:dyDescent="0.25">
      <c r="D1009" s="35"/>
    </row>
    <row r="1010" spans="4:4" x14ac:dyDescent="0.25">
      <c r="D1010" s="35"/>
    </row>
    <row r="1011" spans="4:4" x14ac:dyDescent="0.25">
      <c r="D1011" s="35"/>
    </row>
    <row r="1012" spans="4:4" x14ac:dyDescent="0.25">
      <c r="D1012" s="35"/>
    </row>
    <row r="1013" spans="4:4" x14ac:dyDescent="0.25">
      <c r="D1013" s="35"/>
    </row>
    <row r="1014" spans="4:4" x14ac:dyDescent="0.25">
      <c r="D1014" s="35"/>
    </row>
    <row r="1015" spans="4:4" x14ac:dyDescent="0.25">
      <c r="D1015" s="35"/>
    </row>
    <row r="1016" spans="4:4" x14ac:dyDescent="0.25">
      <c r="D1016" s="35"/>
    </row>
    <row r="1017" spans="4:4" x14ac:dyDescent="0.25">
      <c r="D1017" s="35"/>
    </row>
    <row r="1018" spans="4:4" x14ac:dyDescent="0.25">
      <c r="D1018" s="35"/>
    </row>
    <row r="1019" spans="4:4" x14ac:dyDescent="0.25">
      <c r="D1019" s="35"/>
    </row>
    <row r="1020" spans="4:4" x14ac:dyDescent="0.25">
      <c r="D1020" s="35"/>
    </row>
    <row r="1021" spans="4:4" x14ac:dyDescent="0.25">
      <c r="D1021" s="35"/>
    </row>
    <row r="1022" spans="4:4" x14ac:dyDescent="0.25">
      <c r="D1022" s="35"/>
    </row>
    <row r="1023" spans="4:4" x14ac:dyDescent="0.25">
      <c r="D1023" s="35"/>
    </row>
    <row r="1024" spans="4:4" x14ac:dyDescent="0.25">
      <c r="D1024" s="35"/>
    </row>
    <row r="1025" spans="4:4" x14ac:dyDescent="0.25">
      <c r="D1025" s="35"/>
    </row>
    <row r="1026" spans="4:4" x14ac:dyDescent="0.25">
      <c r="D1026" s="35"/>
    </row>
    <row r="1027" spans="4:4" x14ac:dyDescent="0.25">
      <c r="D1027" s="35"/>
    </row>
    <row r="1028" spans="4:4" x14ac:dyDescent="0.25">
      <c r="D1028" s="35"/>
    </row>
    <row r="1029" spans="4:4" x14ac:dyDescent="0.25">
      <c r="D1029" s="35"/>
    </row>
    <row r="1030" spans="4:4" x14ac:dyDescent="0.25">
      <c r="D1030" s="35"/>
    </row>
    <row r="1031" spans="4:4" x14ac:dyDescent="0.25">
      <c r="D1031" s="35"/>
    </row>
    <row r="1032" spans="4:4" x14ac:dyDescent="0.25">
      <c r="D1032" s="35"/>
    </row>
    <row r="1033" spans="4:4" x14ac:dyDescent="0.25">
      <c r="D1033" s="35"/>
    </row>
    <row r="1034" spans="4:4" x14ac:dyDescent="0.25">
      <c r="D1034" s="35"/>
    </row>
    <row r="1035" spans="4:4" x14ac:dyDescent="0.25">
      <c r="D1035" s="35"/>
    </row>
    <row r="1036" spans="4:4" x14ac:dyDescent="0.25">
      <c r="D1036" s="35"/>
    </row>
    <row r="1037" spans="4:4" x14ac:dyDescent="0.25">
      <c r="D1037" s="35"/>
    </row>
    <row r="1038" spans="4:4" x14ac:dyDescent="0.25">
      <c r="D1038" s="35"/>
    </row>
    <row r="1039" spans="4:4" x14ac:dyDescent="0.25">
      <c r="D1039" s="35"/>
    </row>
    <row r="1040" spans="4:4" x14ac:dyDescent="0.25">
      <c r="D1040" s="35"/>
    </row>
    <row r="1041" spans="4:4" x14ac:dyDescent="0.25">
      <c r="D1041" s="35"/>
    </row>
    <row r="1042" spans="4:4" x14ac:dyDescent="0.25">
      <c r="D1042" s="35"/>
    </row>
    <row r="1043" spans="4:4" x14ac:dyDescent="0.25">
      <c r="D1043" s="35"/>
    </row>
    <row r="1044" spans="4:4" x14ac:dyDescent="0.25">
      <c r="D1044" s="35"/>
    </row>
    <row r="1045" spans="4:4" x14ac:dyDescent="0.25">
      <c r="D1045" s="35"/>
    </row>
    <row r="1046" spans="4:4" x14ac:dyDescent="0.25">
      <c r="D1046" s="35"/>
    </row>
    <row r="1047" spans="4:4" x14ac:dyDescent="0.25">
      <c r="D1047" s="35"/>
    </row>
    <row r="1048" spans="4:4" x14ac:dyDescent="0.25">
      <c r="D1048" s="35"/>
    </row>
    <row r="1049" spans="4:4" x14ac:dyDescent="0.25">
      <c r="D1049" s="35"/>
    </row>
    <row r="1050" spans="4:4" x14ac:dyDescent="0.25">
      <c r="D1050" s="35"/>
    </row>
    <row r="1051" spans="4:4" x14ac:dyDescent="0.25">
      <c r="D1051" s="35"/>
    </row>
    <row r="1052" spans="4:4" x14ac:dyDescent="0.25">
      <c r="D1052" s="35"/>
    </row>
    <row r="1053" spans="4:4" x14ac:dyDescent="0.25">
      <c r="D1053" s="35"/>
    </row>
    <row r="1054" spans="4:4" x14ac:dyDescent="0.25">
      <c r="D1054" s="35"/>
    </row>
    <row r="1055" spans="4:4" x14ac:dyDescent="0.25">
      <c r="D1055" s="35"/>
    </row>
    <row r="1056" spans="4:4" x14ac:dyDescent="0.25">
      <c r="D1056" s="35"/>
    </row>
    <row r="1057" spans="4:4" x14ac:dyDescent="0.25">
      <c r="D1057" s="35"/>
    </row>
    <row r="1058" spans="4:4" x14ac:dyDescent="0.25">
      <c r="D1058" s="35"/>
    </row>
    <row r="1059" spans="4:4" x14ac:dyDescent="0.25">
      <c r="D1059" s="35"/>
    </row>
    <row r="1060" spans="4:4" x14ac:dyDescent="0.25">
      <c r="D1060" s="35"/>
    </row>
    <row r="1061" spans="4:4" x14ac:dyDescent="0.25">
      <c r="D1061" s="35"/>
    </row>
    <row r="1062" spans="4:4" x14ac:dyDescent="0.25">
      <c r="D1062" s="35"/>
    </row>
    <row r="1063" spans="4:4" x14ac:dyDescent="0.25">
      <c r="D1063" s="35"/>
    </row>
    <row r="1064" spans="4:4" x14ac:dyDescent="0.25">
      <c r="D1064" s="35"/>
    </row>
    <row r="1065" spans="4:4" x14ac:dyDescent="0.25">
      <c r="D1065" s="35"/>
    </row>
    <row r="1066" spans="4:4" x14ac:dyDescent="0.25">
      <c r="D1066" s="35"/>
    </row>
    <row r="1067" spans="4:4" x14ac:dyDescent="0.25">
      <c r="D1067" s="35"/>
    </row>
    <row r="1068" spans="4:4" x14ac:dyDescent="0.25">
      <c r="D1068" s="35"/>
    </row>
    <row r="1069" spans="4:4" x14ac:dyDescent="0.25">
      <c r="D1069" s="35"/>
    </row>
    <row r="1070" spans="4:4" x14ac:dyDescent="0.25">
      <c r="D1070" s="35"/>
    </row>
    <row r="1071" spans="4:4" x14ac:dyDescent="0.25">
      <c r="D1071" s="35"/>
    </row>
    <row r="1072" spans="4:4" x14ac:dyDescent="0.25">
      <c r="D1072" s="35"/>
    </row>
    <row r="1073" spans="4:4" x14ac:dyDescent="0.25">
      <c r="D1073" s="35"/>
    </row>
    <row r="1074" spans="4:4" x14ac:dyDescent="0.25">
      <c r="D1074" s="35"/>
    </row>
    <row r="1075" spans="4:4" x14ac:dyDescent="0.25">
      <c r="D1075" s="35"/>
    </row>
    <row r="1076" spans="4:4" x14ac:dyDescent="0.25">
      <c r="D1076" s="35"/>
    </row>
    <row r="1077" spans="4:4" x14ac:dyDescent="0.25">
      <c r="D1077" s="35"/>
    </row>
    <row r="1078" spans="4:4" x14ac:dyDescent="0.25">
      <c r="D1078" s="35"/>
    </row>
    <row r="1079" spans="4:4" x14ac:dyDescent="0.25">
      <c r="D1079" s="35"/>
    </row>
    <row r="1080" spans="4:4" x14ac:dyDescent="0.25">
      <c r="D1080" s="35"/>
    </row>
    <row r="1081" spans="4:4" x14ac:dyDescent="0.25">
      <c r="D1081" s="35"/>
    </row>
    <row r="1082" spans="4:4" x14ac:dyDescent="0.25">
      <c r="D1082" s="35"/>
    </row>
    <row r="1083" spans="4:4" x14ac:dyDescent="0.25">
      <c r="D1083" s="35"/>
    </row>
    <row r="1084" spans="4:4" x14ac:dyDescent="0.25">
      <c r="D1084" s="35"/>
    </row>
    <row r="1085" spans="4:4" x14ac:dyDescent="0.25">
      <c r="D1085" s="35"/>
    </row>
    <row r="1086" spans="4:4" x14ac:dyDescent="0.25">
      <c r="D1086" s="35"/>
    </row>
    <row r="1087" spans="4:4" x14ac:dyDescent="0.25">
      <c r="D1087" s="35"/>
    </row>
    <row r="1088" spans="4:4" x14ac:dyDescent="0.25">
      <c r="D1088" s="35"/>
    </row>
    <row r="1089" spans="4:4" x14ac:dyDescent="0.25">
      <c r="D1089" s="35"/>
    </row>
    <row r="1090" spans="4:4" x14ac:dyDescent="0.25">
      <c r="D1090" s="35"/>
    </row>
    <row r="1091" spans="4:4" x14ac:dyDescent="0.25">
      <c r="D1091" s="35"/>
    </row>
    <row r="1092" spans="4:4" x14ac:dyDescent="0.25">
      <c r="D1092" s="35"/>
    </row>
    <row r="1093" spans="4:4" x14ac:dyDescent="0.25">
      <c r="D1093" s="35"/>
    </row>
    <row r="1094" spans="4:4" x14ac:dyDescent="0.25">
      <c r="D1094" s="35"/>
    </row>
    <row r="1095" spans="4:4" x14ac:dyDescent="0.25">
      <c r="D1095" s="35"/>
    </row>
    <row r="1096" spans="4:4" x14ac:dyDescent="0.25">
      <c r="D1096" s="35"/>
    </row>
    <row r="1097" spans="4:4" x14ac:dyDescent="0.25">
      <c r="D1097" s="35"/>
    </row>
    <row r="1098" spans="4:4" x14ac:dyDescent="0.25">
      <c r="D1098" s="35"/>
    </row>
    <row r="1099" spans="4:4" x14ac:dyDescent="0.25">
      <c r="D1099" s="35"/>
    </row>
    <row r="1100" spans="4:4" x14ac:dyDescent="0.25">
      <c r="D1100" s="35"/>
    </row>
    <row r="1101" spans="4:4" x14ac:dyDescent="0.25">
      <c r="D1101" s="35"/>
    </row>
    <row r="1102" spans="4:4" x14ac:dyDescent="0.25">
      <c r="D1102" s="35"/>
    </row>
    <row r="1103" spans="4:4" x14ac:dyDescent="0.25">
      <c r="D1103" s="35"/>
    </row>
    <row r="1104" spans="4:4" x14ac:dyDescent="0.25">
      <c r="D1104" s="35"/>
    </row>
    <row r="1105" spans="4:4" x14ac:dyDescent="0.25">
      <c r="D1105" s="35"/>
    </row>
    <row r="1106" spans="4:4" x14ac:dyDescent="0.25">
      <c r="D1106" s="35"/>
    </row>
    <row r="1107" spans="4:4" x14ac:dyDescent="0.25">
      <c r="D1107" s="35"/>
    </row>
    <row r="1108" spans="4:4" x14ac:dyDescent="0.25">
      <c r="D1108" s="35"/>
    </row>
    <row r="1109" spans="4:4" x14ac:dyDescent="0.25">
      <c r="D1109" s="35"/>
    </row>
    <row r="1110" spans="4:4" x14ac:dyDescent="0.25">
      <c r="D1110" s="35"/>
    </row>
    <row r="1111" spans="4:4" x14ac:dyDescent="0.25">
      <c r="D1111" s="35"/>
    </row>
    <row r="1112" spans="4:4" x14ac:dyDescent="0.25">
      <c r="D1112" s="35"/>
    </row>
    <row r="1113" spans="4:4" x14ac:dyDescent="0.25">
      <c r="D1113" s="35"/>
    </row>
    <row r="1114" spans="4:4" x14ac:dyDescent="0.25">
      <c r="D1114" s="35"/>
    </row>
    <row r="1115" spans="4:4" x14ac:dyDescent="0.25">
      <c r="D1115" s="35"/>
    </row>
    <row r="1116" spans="4:4" x14ac:dyDescent="0.25">
      <c r="D1116" s="35"/>
    </row>
    <row r="1117" spans="4:4" x14ac:dyDescent="0.25">
      <c r="D1117" s="35"/>
    </row>
    <row r="1118" spans="4:4" x14ac:dyDescent="0.25">
      <c r="D1118" s="35"/>
    </row>
    <row r="1119" spans="4:4" x14ac:dyDescent="0.25">
      <c r="D1119" s="35"/>
    </row>
    <row r="1120" spans="4:4" x14ac:dyDescent="0.25">
      <c r="D1120" s="35"/>
    </row>
    <row r="1121" spans="4:4" x14ac:dyDescent="0.25">
      <c r="D1121" s="35"/>
    </row>
    <row r="1122" spans="4:4" x14ac:dyDescent="0.25">
      <c r="D1122" s="35"/>
    </row>
    <row r="1123" spans="4:4" x14ac:dyDescent="0.25">
      <c r="D1123" s="35"/>
    </row>
    <row r="1124" spans="4:4" x14ac:dyDescent="0.25">
      <c r="D1124" s="35"/>
    </row>
    <row r="1125" spans="4:4" x14ac:dyDescent="0.25">
      <c r="D1125" s="35"/>
    </row>
    <row r="1126" spans="4:4" x14ac:dyDescent="0.25">
      <c r="D1126" s="35"/>
    </row>
    <row r="1127" spans="4:4" x14ac:dyDescent="0.25">
      <c r="D1127" s="35"/>
    </row>
    <row r="1128" spans="4:4" x14ac:dyDescent="0.25">
      <c r="D1128" s="35"/>
    </row>
    <row r="1129" spans="4:4" x14ac:dyDescent="0.25">
      <c r="D1129" s="35"/>
    </row>
    <row r="1130" spans="4:4" x14ac:dyDescent="0.25">
      <c r="D1130" s="35"/>
    </row>
    <row r="1131" spans="4:4" x14ac:dyDescent="0.25">
      <c r="D1131" s="35"/>
    </row>
    <row r="1132" spans="4:4" x14ac:dyDescent="0.25">
      <c r="D1132" s="35"/>
    </row>
    <row r="1133" spans="4:4" x14ac:dyDescent="0.25">
      <c r="D1133" s="35"/>
    </row>
    <row r="1134" spans="4:4" x14ac:dyDescent="0.25">
      <c r="D1134" s="35"/>
    </row>
    <row r="1135" spans="4:4" x14ac:dyDescent="0.25">
      <c r="D1135" s="35"/>
    </row>
    <row r="1136" spans="4:4" x14ac:dyDescent="0.25">
      <c r="D1136" s="35"/>
    </row>
    <row r="1137" spans="4:4" x14ac:dyDescent="0.25">
      <c r="D1137" s="35"/>
    </row>
    <row r="1138" spans="4:4" x14ac:dyDescent="0.25">
      <c r="D1138" s="35"/>
    </row>
    <row r="1139" spans="4:4" x14ac:dyDescent="0.25">
      <c r="D1139" s="35"/>
    </row>
    <row r="1140" spans="4:4" x14ac:dyDescent="0.25">
      <c r="D1140" s="35"/>
    </row>
    <row r="1141" spans="4:4" x14ac:dyDescent="0.25">
      <c r="D1141" s="35"/>
    </row>
    <row r="1142" spans="4:4" x14ac:dyDescent="0.25">
      <c r="D1142" s="35"/>
    </row>
    <row r="1143" spans="4:4" x14ac:dyDescent="0.25">
      <c r="D1143" s="35"/>
    </row>
    <row r="1144" spans="4:4" x14ac:dyDescent="0.25">
      <c r="D1144" s="35"/>
    </row>
    <row r="1145" spans="4:4" x14ac:dyDescent="0.25">
      <c r="D1145" s="35"/>
    </row>
    <row r="1146" spans="4:4" x14ac:dyDescent="0.25">
      <c r="D1146" s="35"/>
    </row>
    <row r="1147" spans="4:4" x14ac:dyDescent="0.25">
      <c r="D1147" s="35"/>
    </row>
    <row r="1148" spans="4:4" x14ac:dyDescent="0.25">
      <c r="D1148" s="35"/>
    </row>
    <row r="1149" spans="4:4" x14ac:dyDescent="0.25">
      <c r="D1149" s="35"/>
    </row>
    <row r="1150" spans="4:4" x14ac:dyDescent="0.25">
      <c r="D1150" s="35"/>
    </row>
    <row r="1151" spans="4:4" x14ac:dyDescent="0.25">
      <c r="D1151" s="35"/>
    </row>
    <row r="1152" spans="4:4" x14ac:dyDescent="0.25">
      <c r="D1152" s="35"/>
    </row>
    <row r="1153" spans="4:4" x14ac:dyDescent="0.25">
      <c r="D1153" s="35"/>
    </row>
    <row r="1154" spans="4:4" x14ac:dyDescent="0.25">
      <c r="D1154" s="35"/>
    </row>
    <row r="1155" spans="4:4" x14ac:dyDescent="0.25">
      <c r="D1155" s="35"/>
    </row>
    <row r="1156" spans="4:4" x14ac:dyDescent="0.25">
      <c r="D1156" s="35"/>
    </row>
    <row r="1157" spans="4:4" x14ac:dyDescent="0.25">
      <c r="D1157" s="35"/>
    </row>
    <row r="1158" spans="4:4" x14ac:dyDescent="0.25">
      <c r="D1158" s="35"/>
    </row>
    <row r="1159" spans="4:4" x14ac:dyDescent="0.25">
      <c r="D1159" s="35"/>
    </row>
    <row r="1160" spans="4:4" x14ac:dyDescent="0.25">
      <c r="D1160" s="35"/>
    </row>
    <row r="1161" spans="4:4" x14ac:dyDescent="0.25">
      <c r="D1161" s="35"/>
    </row>
    <row r="1162" spans="4:4" x14ac:dyDescent="0.25">
      <c r="D1162" s="35"/>
    </row>
    <row r="1163" spans="4:4" x14ac:dyDescent="0.25">
      <c r="D1163" s="35"/>
    </row>
    <row r="1164" spans="4:4" x14ac:dyDescent="0.25">
      <c r="D1164" s="35"/>
    </row>
    <row r="1165" spans="4:4" x14ac:dyDescent="0.25">
      <c r="D1165" s="35"/>
    </row>
    <row r="1166" spans="4:4" x14ac:dyDescent="0.25">
      <c r="D1166" s="35"/>
    </row>
    <row r="1167" spans="4:4" x14ac:dyDescent="0.25">
      <c r="D1167" s="35"/>
    </row>
    <row r="1168" spans="4:4" x14ac:dyDescent="0.25">
      <c r="D1168" s="35"/>
    </row>
    <row r="1169" spans="4:4" x14ac:dyDescent="0.25">
      <c r="D1169" s="35"/>
    </row>
    <row r="1170" spans="4:4" x14ac:dyDescent="0.25">
      <c r="D1170" s="35"/>
    </row>
    <row r="1171" spans="4:4" x14ac:dyDescent="0.25">
      <c r="D1171" s="35"/>
    </row>
    <row r="1172" spans="4:4" x14ac:dyDescent="0.25">
      <c r="D1172" s="35"/>
    </row>
    <row r="1173" spans="4:4" x14ac:dyDescent="0.25">
      <c r="D1173" s="35"/>
    </row>
    <row r="1174" spans="4:4" x14ac:dyDescent="0.25">
      <c r="D1174" s="35"/>
    </row>
    <row r="1175" spans="4:4" x14ac:dyDescent="0.25">
      <c r="D1175" s="35"/>
    </row>
    <row r="1176" spans="4:4" x14ac:dyDescent="0.25">
      <c r="D1176" s="35"/>
    </row>
    <row r="1177" spans="4:4" x14ac:dyDescent="0.25">
      <c r="D1177" s="35"/>
    </row>
    <row r="1178" spans="4:4" x14ac:dyDescent="0.25">
      <c r="D1178" s="35"/>
    </row>
    <row r="1179" spans="4:4" x14ac:dyDescent="0.25">
      <c r="D1179" s="35"/>
    </row>
    <row r="1180" spans="4:4" x14ac:dyDescent="0.25">
      <c r="D1180" s="35"/>
    </row>
    <row r="1181" spans="4:4" x14ac:dyDescent="0.25">
      <c r="D1181" s="35"/>
    </row>
    <row r="1182" spans="4:4" x14ac:dyDescent="0.25">
      <c r="D1182" s="35"/>
    </row>
    <row r="1183" spans="4:4" x14ac:dyDescent="0.25">
      <c r="D1183" s="35"/>
    </row>
    <row r="1184" spans="4:4" x14ac:dyDescent="0.25">
      <c r="D1184" s="35"/>
    </row>
    <row r="1185" spans="4:4" x14ac:dyDescent="0.25">
      <c r="D1185" s="35"/>
    </row>
    <row r="1186" spans="4:4" x14ac:dyDescent="0.25">
      <c r="D1186" s="35"/>
    </row>
    <row r="1187" spans="4:4" x14ac:dyDescent="0.25">
      <c r="D1187" s="35"/>
    </row>
    <row r="1188" spans="4:4" x14ac:dyDescent="0.25">
      <c r="D1188" s="35"/>
    </row>
    <row r="1189" spans="4:4" x14ac:dyDescent="0.25">
      <c r="D1189" s="35"/>
    </row>
    <row r="1190" spans="4:4" x14ac:dyDescent="0.25">
      <c r="D1190" s="35"/>
    </row>
    <row r="1191" spans="4:4" x14ac:dyDescent="0.25">
      <c r="D1191" s="35"/>
    </row>
    <row r="1192" spans="4:4" x14ac:dyDescent="0.25">
      <c r="D1192" s="35"/>
    </row>
    <row r="1193" spans="4:4" x14ac:dyDescent="0.25">
      <c r="D1193" s="35"/>
    </row>
    <row r="1194" spans="4:4" x14ac:dyDescent="0.25">
      <c r="D1194" s="35"/>
    </row>
    <row r="1195" spans="4:4" x14ac:dyDescent="0.25">
      <c r="D1195" s="35"/>
    </row>
    <row r="1196" spans="4:4" x14ac:dyDescent="0.25">
      <c r="D1196" s="35"/>
    </row>
    <row r="1197" spans="4:4" x14ac:dyDescent="0.25">
      <c r="D1197" s="35"/>
    </row>
    <row r="1198" spans="4:4" x14ac:dyDescent="0.25">
      <c r="D1198" s="35"/>
    </row>
    <row r="1199" spans="4:4" x14ac:dyDescent="0.25">
      <c r="D1199" s="35"/>
    </row>
    <row r="1200" spans="4:4" x14ac:dyDescent="0.25">
      <c r="D1200" s="35"/>
    </row>
    <row r="1201" spans="4:4" x14ac:dyDescent="0.25">
      <c r="D1201" s="35"/>
    </row>
    <row r="1202" spans="4:4" x14ac:dyDescent="0.25">
      <c r="D1202" s="35"/>
    </row>
    <row r="1203" spans="4:4" x14ac:dyDescent="0.25">
      <c r="D1203" s="35"/>
    </row>
    <row r="1204" spans="4:4" x14ac:dyDescent="0.25">
      <c r="D1204" s="35"/>
    </row>
    <row r="1205" spans="4:4" x14ac:dyDescent="0.25">
      <c r="D1205" s="35"/>
    </row>
    <row r="1206" spans="4:4" x14ac:dyDescent="0.25">
      <c r="D1206" s="35"/>
    </row>
    <row r="1207" spans="4:4" x14ac:dyDescent="0.25">
      <c r="D1207" s="35"/>
    </row>
    <row r="1208" spans="4:4" x14ac:dyDescent="0.25">
      <c r="D1208" s="35"/>
    </row>
    <row r="1209" spans="4:4" x14ac:dyDescent="0.25">
      <c r="D1209" s="35"/>
    </row>
    <row r="1210" spans="4:4" x14ac:dyDescent="0.25">
      <c r="D1210" s="35"/>
    </row>
    <row r="1211" spans="4:4" x14ac:dyDescent="0.25">
      <c r="D1211" s="35"/>
    </row>
    <row r="1212" spans="4:4" x14ac:dyDescent="0.25">
      <c r="D1212" s="35"/>
    </row>
    <row r="1213" spans="4:4" x14ac:dyDescent="0.25">
      <c r="D1213" s="35"/>
    </row>
    <row r="1214" spans="4:4" x14ac:dyDescent="0.25">
      <c r="D1214" s="35"/>
    </row>
    <row r="1215" spans="4:4" x14ac:dyDescent="0.25">
      <c r="D1215" s="35"/>
    </row>
    <row r="1216" spans="4:4" x14ac:dyDescent="0.25">
      <c r="D1216" s="35"/>
    </row>
    <row r="1217" spans="4:4" x14ac:dyDescent="0.25">
      <c r="D1217" s="35"/>
    </row>
    <row r="1218" spans="4:4" x14ac:dyDescent="0.25">
      <c r="D1218" s="35"/>
    </row>
    <row r="1219" spans="4:4" x14ac:dyDescent="0.25">
      <c r="D1219" s="35"/>
    </row>
    <row r="1220" spans="4:4" x14ac:dyDescent="0.25">
      <c r="D1220" s="35"/>
    </row>
    <row r="1221" spans="4:4" x14ac:dyDescent="0.25">
      <c r="D1221" s="35"/>
    </row>
    <row r="1222" spans="4:4" x14ac:dyDescent="0.25">
      <c r="D1222" s="35"/>
    </row>
    <row r="1223" spans="4:4" x14ac:dyDescent="0.25">
      <c r="D1223" s="35"/>
    </row>
    <row r="1224" spans="4:4" x14ac:dyDescent="0.25">
      <c r="D1224" s="35"/>
    </row>
    <row r="1225" spans="4:4" x14ac:dyDescent="0.25">
      <c r="D1225" s="35"/>
    </row>
    <row r="1226" spans="4:4" x14ac:dyDescent="0.25">
      <c r="D1226" s="35"/>
    </row>
    <row r="1227" spans="4:4" x14ac:dyDescent="0.25">
      <c r="D1227" s="35"/>
    </row>
    <row r="1228" spans="4:4" x14ac:dyDescent="0.25">
      <c r="D1228" s="35"/>
    </row>
    <row r="1229" spans="4:4" x14ac:dyDescent="0.25">
      <c r="D1229" s="35"/>
    </row>
    <row r="1230" spans="4:4" x14ac:dyDescent="0.25">
      <c r="D1230" s="35"/>
    </row>
    <row r="1231" spans="4:4" x14ac:dyDescent="0.25">
      <c r="D1231" s="35"/>
    </row>
    <row r="1232" spans="4:4" x14ac:dyDescent="0.25">
      <c r="D1232" s="35"/>
    </row>
    <row r="1233" spans="4:4" x14ac:dyDescent="0.25">
      <c r="D1233" s="35"/>
    </row>
    <row r="1234" spans="4:4" x14ac:dyDescent="0.25">
      <c r="D1234" s="35"/>
    </row>
    <row r="1235" spans="4:4" x14ac:dyDescent="0.25">
      <c r="D1235" s="35"/>
    </row>
    <row r="1236" spans="4:4" x14ac:dyDescent="0.25">
      <c r="D1236" s="35"/>
    </row>
    <row r="1237" spans="4:4" x14ac:dyDescent="0.25">
      <c r="D1237" s="35"/>
    </row>
    <row r="1238" spans="4:4" x14ac:dyDescent="0.25">
      <c r="D1238" s="35"/>
    </row>
    <row r="1239" spans="4:4" x14ac:dyDescent="0.25">
      <c r="D1239" s="35"/>
    </row>
    <row r="1240" spans="4:4" x14ac:dyDescent="0.25">
      <c r="D1240" s="35"/>
    </row>
    <row r="1241" spans="4:4" x14ac:dyDescent="0.25">
      <c r="D1241" s="35"/>
    </row>
    <row r="1242" spans="4:4" x14ac:dyDescent="0.25">
      <c r="D1242" s="35"/>
    </row>
    <row r="1243" spans="4:4" x14ac:dyDescent="0.25">
      <c r="D1243" s="35"/>
    </row>
    <row r="1244" spans="4:4" x14ac:dyDescent="0.25">
      <c r="D1244" s="35"/>
    </row>
    <row r="1245" spans="4:4" x14ac:dyDescent="0.25">
      <c r="D1245" s="35"/>
    </row>
    <row r="1246" spans="4:4" x14ac:dyDescent="0.25">
      <c r="D1246" s="35"/>
    </row>
    <row r="1247" spans="4:4" x14ac:dyDescent="0.25">
      <c r="D1247" s="35"/>
    </row>
    <row r="1248" spans="4:4" x14ac:dyDescent="0.25">
      <c r="D1248" s="35"/>
    </row>
    <row r="1249" spans="4:4" x14ac:dyDescent="0.25">
      <c r="D1249" s="35"/>
    </row>
    <row r="1250" spans="4:4" x14ac:dyDescent="0.25">
      <c r="D1250" s="35"/>
    </row>
    <row r="1251" spans="4:4" x14ac:dyDescent="0.25">
      <c r="D1251" s="35"/>
    </row>
    <row r="1252" spans="4:4" x14ac:dyDescent="0.25">
      <c r="D1252" s="35"/>
    </row>
    <row r="1253" spans="4:4" x14ac:dyDescent="0.25">
      <c r="D1253" s="35"/>
    </row>
    <row r="1254" spans="4:4" x14ac:dyDescent="0.25">
      <c r="D1254" s="35"/>
    </row>
    <row r="1255" spans="4:4" x14ac:dyDescent="0.25">
      <c r="D1255" s="35"/>
    </row>
    <row r="1256" spans="4:4" x14ac:dyDescent="0.25">
      <c r="D1256" s="35"/>
    </row>
    <row r="1257" spans="4:4" x14ac:dyDescent="0.25">
      <c r="D1257" s="35"/>
    </row>
    <row r="1258" spans="4:4" x14ac:dyDescent="0.25">
      <c r="D1258" s="35"/>
    </row>
    <row r="1259" spans="4:4" x14ac:dyDescent="0.25">
      <c r="D1259" s="35"/>
    </row>
    <row r="1260" spans="4:4" x14ac:dyDescent="0.25">
      <c r="D1260" s="35"/>
    </row>
    <row r="1261" spans="4:4" x14ac:dyDescent="0.25">
      <c r="D1261" s="35"/>
    </row>
    <row r="1262" spans="4:4" x14ac:dyDescent="0.25">
      <c r="D1262" s="35"/>
    </row>
    <row r="1263" spans="4:4" x14ac:dyDescent="0.25">
      <c r="D1263" s="35"/>
    </row>
    <row r="1264" spans="4:4" x14ac:dyDescent="0.25">
      <c r="D1264" s="35"/>
    </row>
    <row r="1265" spans="4:4" x14ac:dyDescent="0.25">
      <c r="D1265" s="35"/>
    </row>
    <row r="1266" spans="4:4" x14ac:dyDescent="0.25">
      <c r="D1266" s="35"/>
    </row>
    <row r="1267" spans="4:4" x14ac:dyDescent="0.25">
      <c r="D1267" s="35"/>
    </row>
    <row r="1268" spans="4:4" x14ac:dyDescent="0.25">
      <c r="D1268" s="35"/>
    </row>
    <row r="1269" spans="4:4" x14ac:dyDescent="0.25">
      <c r="D1269" s="35"/>
    </row>
    <row r="1270" spans="4:4" x14ac:dyDescent="0.25">
      <c r="D1270" s="35"/>
    </row>
    <row r="1271" spans="4:4" x14ac:dyDescent="0.25">
      <c r="D1271" s="35"/>
    </row>
    <row r="1272" spans="4:4" x14ac:dyDescent="0.25">
      <c r="D1272" s="35"/>
    </row>
    <row r="1273" spans="4:4" x14ac:dyDescent="0.25">
      <c r="D1273" s="35"/>
    </row>
    <row r="1274" spans="4:4" x14ac:dyDescent="0.25">
      <c r="D1274" s="35"/>
    </row>
    <row r="1275" spans="4:4" x14ac:dyDescent="0.25">
      <c r="D1275" s="35"/>
    </row>
    <row r="1276" spans="4:4" x14ac:dyDescent="0.25">
      <c r="D1276" s="35"/>
    </row>
    <row r="1277" spans="4:4" x14ac:dyDescent="0.25">
      <c r="D1277" s="35"/>
    </row>
    <row r="1278" spans="4:4" x14ac:dyDescent="0.25">
      <c r="D1278" s="35"/>
    </row>
    <row r="1279" spans="4:4" x14ac:dyDescent="0.25">
      <c r="D1279" s="35"/>
    </row>
    <row r="1280" spans="4:4" x14ac:dyDescent="0.25">
      <c r="D1280" s="35"/>
    </row>
    <row r="1281" spans="4:4" x14ac:dyDescent="0.25">
      <c r="D1281" s="35"/>
    </row>
    <row r="1282" spans="4:4" x14ac:dyDescent="0.25">
      <c r="D1282" s="35"/>
    </row>
    <row r="1283" spans="4:4" x14ac:dyDescent="0.25">
      <c r="D1283" s="35"/>
    </row>
    <row r="1284" spans="4:4" x14ac:dyDescent="0.25">
      <c r="D1284" s="35"/>
    </row>
    <row r="1285" spans="4:4" x14ac:dyDescent="0.25">
      <c r="D1285" s="35"/>
    </row>
    <row r="1286" spans="4:4" x14ac:dyDescent="0.25">
      <c r="D1286" s="35"/>
    </row>
    <row r="1287" spans="4:4" x14ac:dyDescent="0.25">
      <c r="D1287" s="35"/>
    </row>
    <row r="1288" spans="4:4" x14ac:dyDescent="0.25">
      <c r="D1288" s="35"/>
    </row>
    <row r="1289" spans="4:4" x14ac:dyDescent="0.25">
      <c r="D1289" s="35"/>
    </row>
    <row r="1290" spans="4:4" x14ac:dyDescent="0.25">
      <c r="D1290" s="35"/>
    </row>
    <row r="1291" spans="4:4" x14ac:dyDescent="0.25">
      <c r="D1291" s="35"/>
    </row>
    <row r="1292" spans="4:4" x14ac:dyDescent="0.25">
      <c r="D1292" s="35"/>
    </row>
    <row r="1293" spans="4:4" x14ac:dyDescent="0.25">
      <c r="D1293" s="35"/>
    </row>
    <row r="1294" spans="4:4" x14ac:dyDescent="0.25">
      <c r="D1294" s="35"/>
    </row>
    <row r="1295" spans="4:4" x14ac:dyDescent="0.25">
      <c r="D1295" s="35"/>
    </row>
    <row r="1296" spans="4:4" x14ac:dyDescent="0.25">
      <c r="D1296" s="35"/>
    </row>
    <row r="1297" spans="4:4" x14ac:dyDescent="0.25">
      <c r="D1297" s="35"/>
    </row>
    <row r="1298" spans="4:4" x14ac:dyDescent="0.25">
      <c r="D1298" s="35"/>
    </row>
    <row r="1299" spans="4:4" x14ac:dyDescent="0.25">
      <c r="D1299" s="35"/>
    </row>
    <row r="1300" spans="4:4" x14ac:dyDescent="0.25">
      <c r="D1300" s="35"/>
    </row>
    <row r="1301" spans="4:4" x14ac:dyDescent="0.25">
      <c r="D1301" s="35"/>
    </row>
    <row r="1302" spans="4:4" x14ac:dyDescent="0.25">
      <c r="D1302" s="35"/>
    </row>
    <row r="1303" spans="4:4" x14ac:dyDescent="0.25">
      <c r="D1303" s="35"/>
    </row>
    <row r="1304" spans="4:4" x14ac:dyDescent="0.25">
      <c r="D1304" s="35"/>
    </row>
    <row r="1305" spans="4:4" x14ac:dyDescent="0.25">
      <c r="D1305" s="35"/>
    </row>
    <row r="1306" spans="4:4" x14ac:dyDescent="0.25">
      <c r="D1306" s="35"/>
    </row>
    <row r="1307" spans="4:4" x14ac:dyDescent="0.25">
      <c r="D1307" s="35"/>
    </row>
    <row r="1308" spans="4:4" x14ac:dyDescent="0.25">
      <c r="D1308" s="35"/>
    </row>
    <row r="1309" spans="4:4" x14ac:dyDescent="0.25">
      <c r="D1309" s="35"/>
    </row>
    <row r="1310" spans="4:4" x14ac:dyDescent="0.25">
      <c r="D1310" s="35"/>
    </row>
    <row r="1311" spans="4:4" x14ac:dyDescent="0.25">
      <c r="D1311" s="35"/>
    </row>
    <row r="1312" spans="4:4" x14ac:dyDescent="0.25">
      <c r="D1312" s="35"/>
    </row>
    <row r="1313" spans="4:4" x14ac:dyDescent="0.25">
      <c r="D1313" s="35"/>
    </row>
    <row r="1314" spans="4:4" x14ac:dyDescent="0.25">
      <c r="D1314" s="35"/>
    </row>
    <row r="1315" spans="4:4" x14ac:dyDescent="0.25">
      <c r="D1315" s="35"/>
    </row>
    <row r="1316" spans="4:4" x14ac:dyDescent="0.25">
      <c r="D1316" s="35"/>
    </row>
    <row r="1317" spans="4:4" x14ac:dyDescent="0.25">
      <c r="D1317" s="35"/>
    </row>
    <row r="1318" spans="4:4" x14ac:dyDescent="0.25">
      <c r="D1318" s="35"/>
    </row>
    <row r="1319" spans="4:4" x14ac:dyDescent="0.25">
      <c r="D1319" s="35"/>
    </row>
    <row r="1320" spans="4:4" x14ac:dyDescent="0.25">
      <c r="D1320" s="35"/>
    </row>
    <row r="1321" spans="4:4" x14ac:dyDescent="0.25">
      <c r="D1321" s="35"/>
    </row>
    <row r="1322" spans="4:4" x14ac:dyDescent="0.25">
      <c r="D1322" s="35"/>
    </row>
    <row r="1323" spans="4:4" x14ac:dyDescent="0.25">
      <c r="D1323" s="35"/>
    </row>
    <row r="1324" spans="4:4" x14ac:dyDescent="0.25">
      <c r="D1324" s="35"/>
    </row>
    <row r="1325" spans="4:4" x14ac:dyDescent="0.25">
      <c r="D1325" s="35"/>
    </row>
    <row r="1326" spans="4:4" x14ac:dyDescent="0.25">
      <c r="D1326" s="35"/>
    </row>
    <row r="1327" spans="4:4" x14ac:dyDescent="0.25">
      <c r="D1327" s="35"/>
    </row>
    <row r="1328" spans="4:4" x14ac:dyDescent="0.25">
      <c r="D1328" s="35"/>
    </row>
    <row r="1329" spans="4:4" x14ac:dyDescent="0.25">
      <c r="D1329" s="35"/>
    </row>
    <row r="1330" spans="4:4" x14ac:dyDescent="0.25">
      <c r="D1330" s="35"/>
    </row>
    <row r="1331" spans="4:4" x14ac:dyDescent="0.25">
      <c r="D1331" s="35"/>
    </row>
    <row r="1332" spans="4:4" x14ac:dyDescent="0.25">
      <c r="D1332" s="35"/>
    </row>
    <row r="1333" spans="4:4" x14ac:dyDescent="0.25">
      <c r="D1333" s="35"/>
    </row>
    <row r="1334" spans="4:4" x14ac:dyDescent="0.25">
      <c r="D1334" s="35"/>
    </row>
    <row r="1335" spans="4:4" x14ac:dyDescent="0.25">
      <c r="D1335" s="35"/>
    </row>
    <row r="1336" spans="4:4" x14ac:dyDescent="0.25">
      <c r="D1336" s="35"/>
    </row>
    <row r="1337" spans="4:4" x14ac:dyDescent="0.25">
      <c r="D1337" s="35"/>
    </row>
    <row r="1338" spans="4:4" x14ac:dyDescent="0.25">
      <c r="D1338" s="35"/>
    </row>
    <row r="1339" spans="4:4" x14ac:dyDescent="0.25">
      <c r="D1339" s="35"/>
    </row>
    <row r="1340" spans="4:4" x14ac:dyDescent="0.25">
      <c r="D1340" s="35"/>
    </row>
    <row r="1341" spans="4:4" x14ac:dyDescent="0.25">
      <c r="D1341" s="35"/>
    </row>
    <row r="1342" spans="4:4" x14ac:dyDescent="0.25">
      <c r="D1342" s="35"/>
    </row>
    <row r="1343" spans="4:4" x14ac:dyDescent="0.25">
      <c r="D1343" s="35"/>
    </row>
    <row r="1344" spans="4:4" x14ac:dyDescent="0.25">
      <c r="D1344" s="35"/>
    </row>
    <row r="1345" spans="4:4" x14ac:dyDescent="0.25">
      <c r="D1345" s="35"/>
    </row>
    <row r="1346" spans="4:4" x14ac:dyDescent="0.25">
      <c r="D1346" s="35"/>
    </row>
    <row r="1347" spans="4:4" x14ac:dyDescent="0.25">
      <c r="D1347" s="35"/>
    </row>
    <row r="1348" spans="4:4" x14ac:dyDescent="0.25">
      <c r="D1348" s="35"/>
    </row>
    <row r="1349" spans="4:4" x14ac:dyDescent="0.25">
      <c r="D1349" s="35"/>
    </row>
    <row r="1350" spans="4:4" x14ac:dyDescent="0.25">
      <c r="D1350" s="35"/>
    </row>
    <row r="1351" spans="4:4" x14ac:dyDescent="0.25">
      <c r="D1351" s="35"/>
    </row>
    <row r="1352" spans="4:4" x14ac:dyDescent="0.25">
      <c r="D1352" s="35"/>
    </row>
    <row r="1353" spans="4:4" x14ac:dyDescent="0.25">
      <c r="D1353" s="35"/>
    </row>
    <row r="1354" spans="4:4" x14ac:dyDescent="0.25">
      <c r="D1354" s="35"/>
    </row>
    <row r="1355" spans="4:4" x14ac:dyDescent="0.25">
      <c r="D1355" s="35"/>
    </row>
    <row r="1356" spans="4:4" x14ac:dyDescent="0.25">
      <c r="D1356" s="35"/>
    </row>
    <row r="1357" spans="4:4" x14ac:dyDescent="0.25">
      <c r="D1357" s="35"/>
    </row>
    <row r="1358" spans="4:4" x14ac:dyDescent="0.25">
      <c r="D1358" s="35"/>
    </row>
    <row r="1359" spans="4:4" x14ac:dyDescent="0.25">
      <c r="D1359" s="35"/>
    </row>
    <row r="1360" spans="4:4" x14ac:dyDescent="0.25">
      <c r="D1360" s="35"/>
    </row>
    <row r="1361" spans="4:4" x14ac:dyDescent="0.25">
      <c r="D1361" s="35"/>
    </row>
    <row r="1362" spans="4:4" x14ac:dyDescent="0.25">
      <c r="D1362" s="35"/>
    </row>
    <row r="1363" spans="4:4" x14ac:dyDescent="0.25">
      <c r="D1363" s="35"/>
    </row>
    <row r="1364" spans="4:4" x14ac:dyDescent="0.25">
      <c r="D1364" s="35"/>
    </row>
    <row r="1365" spans="4:4" x14ac:dyDescent="0.25">
      <c r="D1365" s="35"/>
    </row>
    <row r="1366" spans="4:4" x14ac:dyDescent="0.25">
      <c r="D1366" s="35"/>
    </row>
    <row r="1367" spans="4:4" x14ac:dyDescent="0.25">
      <c r="D1367" s="35"/>
    </row>
    <row r="1368" spans="4:4" x14ac:dyDescent="0.25">
      <c r="D1368" s="35"/>
    </row>
    <row r="1369" spans="4:4" x14ac:dyDescent="0.25">
      <c r="D1369" s="35"/>
    </row>
    <row r="1370" spans="4:4" x14ac:dyDescent="0.25">
      <c r="D1370" s="35"/>
    </row>
    <row r="1371" spans="4:4" x14ac:dyDescent="0.25">
      <c r="D1371" s="35"/>
    </row>
    <row r="1372" spans="4:4" x14ac:dyDescent="0.25">
      <c r="D1372" s="35"/>
    </row>
    <row r="1373" spans="4:4" x14ac:dyDescent="0.25">
      <c r="D1373" s="35"/>
    </row>
    <row r="1374" spans="4:4" x14ac:dyDescent="0.25">
      <c r="D1374" s="35"/>
    </row>
    <row r="1375" spans="4:4" x14ac:dyDescent="0.25">
      <c r="D1375" s="35"/>
    </row>
    <row r="1376" spans="4:4" x14ac:dyDescent="0.25">
      <c r="D1376" s="35"/>
    </row>
    <row r="1377" spans="4:4" x14ac:dyDescent="0.25">
      <c r="D1377" s="35"/>
    </row>
    <row r="1378" spans="4:4" x14ac:dyDescent="0.25">
      <c r="D1378" s="35"/>
    </row>
    <row r="1379" spans="4:4" x14ac:dyDescent="0.25">
      <c r="D1379" s="35"/>
    </row>
    <row r="1380" spans="4:4" x14ac:dyDescent="0.25">
      <c r="D1380" s="35"/>
    </row>
    <row r="1381" spans="4:4" x14ac:dyDescent="0.25">
      <c r="D1381" s="35"/>
    </row>
    <row r="1382" spans="4:4" x14ac:dyDescent="0.25">
      <c r="D1382" s="35"/>
    </row>
    <row r="1383" spans="4:4" x14ac:dyDescent="0.25">
      <c r="D1383" s="35"/>
    </row>
    <row r="1384" spans="4:4" x14ac:dyDescent="0.25">
      <c r="D1384" s="35"/>
    </row>
    <row r="1385" spans="4:4" x14ac:dyDescent="0.25">
      <c r="D1385" s="35"/>
    </row>
    <row r="1386" spans="4:4" x14ac:dyDescent="0.25">
      <c r="D1386" s="35"/>
    </row>
    <row r="1387" spans="4:4" x14ac:dyDescent="0.25">
      <c r="D1387" s="35"/>
    </row>
    <row r="1388" spans="4:4" x14ac:dyDescent="0.25">
      <c r="D1388" s="35"/>
    </row>
    <row r="1389" spans="4:4" x14ac:dyDescent="0.25">
      <c r="D1389" s="35"/>
    </row>
    <row r="1390" spans="4:4" x14ac:dyDescent="0.25">
      <c r="D1390" s="35"/>
    </row>
    <row r="1391" spans="4:4" x14ac:dyDescent="0.25">
      <c r="D1391" s="35"/>
    </row>
    <row r="1392" spans="4:4" x14ac:dyDescent="0.25">
      <c r="D1392" s="35"/>
    </row>
    <row r="1393" spans="4:4" x14ac:dyDescent="0.25">
      <c r="D1393" s="35"/>
    </row>
    <row r="1394" spans="4:4" x14ac:dyDescent="0.25">
      <c r="D1394" s="35"/>
    </row>
    <row r="1395" spans="4:4" x14ac:dyDescent="0.25">
      <c r="D1395" s="35"/>
    </row>
    <row r="1396" spans="4:4" x14ac:dyDescent="0.25">
      <c r="D1396" s="35"/>
    </row>
    <row r="1397" spans="4:4" x14ac:dyDescent="0.25">
      <c r="D1397" s="35"/>
    </row>
    <row r="1398" spans="4:4" x14ac:dyDescent="0.25">
      <c r="D1398" s="35"/>
    </row>
    <row r="1399" spans="4:4" x14ac:dyDescent="0.25">
      <c r="D1399" s="35"/>
    </row>
    <row r="1400" spans="4:4" x14ac:dyDescent="0.25">
      <c r="D1400" s="35"/>
    </row>
    <row r="1401" spans="4:4" x14ac:dyDescent="0.25">
      <c r="D1401" s="35"/>
    </row>
    <row r="1402" spans="4:4" x14ac:dyDescent="0.25">
      <c r="D1402" s="35"/>
    </row>
    <row r="1403" spans="4:4" x14ac:dyDescent="0.25">
      <c r="D1403" s="35"/>
    </row>
    <row r="1404" spans="4:4" x14ac:dyDescent="0.25">
      <c r="D1404" s="35"/>
    </row>
    <row r="1405" spans="4:4" x14ac:dyDescent="0.25">
      <c r="D1405" s="35"/>
    </row>
    <row r="1406" spans="4:4" x14ac:dyDescent="0.25">
      <c r="D1406" s="35"/>
    </row>
    <row r="1407" spans="4:4" x14ac:dyDescent="0.25">
      <c r="D1407" s="35"/>
    </row>
    <row r="1408" spans="4:4" x14ac:dyDescent="0.25">
      <c r="D1408" s="35"/>
    </row>
    <row r="1409" spans="4:4" x14ac:dyDescent="0.25">
      <c r="D1409" s="35"/>
    </row>
    <row r="1410" spans="4:4" x14ac:dyDescent="0.25">
      <c r="D1410" s="35"/>
    </row>
    <row r="1411" spans="4:4" x14ac:dyDescent="0.25">
      <c r="D1411" s="35"/>
    </row>
    <row r="1412" spans="4:4" x14ac:dyDescent="0.25">
      <c r="D1412" s="35"/>
    </row>
    <row r="1413" spans="4:4" x14ac:dyDescent="0.25">
      <c r="D1413" s="35"/>
    </row>
    <row r="1414" spans="4:4" x14ac:dyDescent="0.25">
      <c r="D1414" s="35"/>
    </row>
    <row r="1415" spans="4:4" x14ac:dyDescent="0.25">
      <c r="D1415" s="35"/>
    </row>
    <row r="1416" spans="4:4" x14ac:dyDescent="0.25">
      <c r="D1416" s="35"/>
    </row>
    <row r="1417" spans="4:4" x14ac:dyDescent="0.25">
      <c r="D1417" s="35"/>
    </row>
    <row r="1418" spans="4:4" x14ac:dyDescent="0.25">
      <c r="D1418" s="35"/>
    </row>
    <row r="1419" spans="4:4" x14ac:dyDescent="0.25">
      <c r="D1419" s="35"/>
    </row>
    <row r="1420" spans="4:4" x14ac:dyDescent="0.25">
      <c r="D1420" s="35"/>
    </row>
    <row r="1421" spans="4:4" x14ac:dyDescent="0.25">
      <c r="D1421" s="35"/>
    </row>
    <row r="1422" spans="4:4" x14ac:dyDescent="0.25">
      <c r="D1422" s="35"/>
    </row>
    <row r="1423" spans="4:4" x14ac:dyDescent="0.25">
      <c r="D1423" s="35"/>
    </row>
    <row r="1424" spans="4:4" x14ac:dyDescent="0.25">
      <c r="D1424" s="35"/>
    </row>
    <row r="1425" spans="4:4" x14ac:dyDescent="0.25">
      <c r="D1425" s="35"/>
    </row>
    <row r="1426" spans="4:4" x14ac:dyDescent="0.25">
      <c r="D1426" s="35"/>
    </row>
    <row r="1427" spans="4:4" x14ac:dyDescent="0.25">
      <c r="D1427" s="35"/>
    </row>
    <row r="1428" spans="4:4" x14ac:dyDescent="0.25">
      <c r="D1428" s="35"/>
    </row>
    <row r="1429" spans="4:4" x14ac:dyDescent="0.25">
      <c r="D1429" s="35"/>
    </row>
    <row r="1430" spans="4:4" x14ac:dyDescent="0.25">
      <c r="D1430" s="35"/>
    </row>
    <row r="1431" spans="4:4" x14ac:dyDescent="0.25">
      <c r="D1431" s="35"/>
    </row>
    <row r="1432" spans="4:4" x14ac:dyDescent="0.25">
      <c r="D1432" s="35"/>
    </row>
    <row r="1433" spans="4:4" x14ac:dyDescent="0.25">
      <c r="D1433" s="35"/>
    </row>
    <row r="1434" spans="4:4" x14ac:dyDescent="0.25">
      <c r="D1434" s="35"/>
    </row>
    <row r="1435" spans="4:4" x14ac:dyDescent="0.25">
      <c r="D1435" s="35"/>
    </row>
    <row r="1436" spans="4:4" x14ac:dyDescent="0.25">
      <c r="D1436" s="35"/>
    </row>
    <row r="1437" spans="4:4" x14ac:dyDescent="0.25">
      <c r="D1437" s="35"/>
    </row>
    <row r="1438" spans="4:4" x14ac:dyDescent="0.25">
      <c r="D1438" s="35"/>
    </row>
    <row r="1439" spans="4:4" x14ac:dyDescent="0.25">
      <c r="D1439" s="35"/>
    </row>
    <row r="1440" spans="4:4" x14ac:dyDescent="0.25">
      <c r="D1440" s="35"/>
    </row>
    <row r="1441" spans="4:4" x14ac:dyDescent="0.25">
      <c r="D1441" s="35"/>
    </row>
    <row r="1442" spans="4:4" x14ac:dyDescent="0.25">
      <c r="D1442" s="35"/>
    </row>
    <row r="1443" spans="4:4" x14ac:dyDescent="0.25">
      <c r="D1443" s="35"/>
    </row>
    <row r="1444" spans="4:4" x14ac:dyDescent="0.25">
      <c r="D1444" s="35"/>
    </row>
    <row r="1445" spans="4:4" x14ac:dyDescent="0.25">
      <c r="D1445" s="35"/>
    </row>
    <row r="1446" spans="4:4" x14ac:dyDescent="0.25">
      <c r="D1446" s="35"/>
    </row>
    <row r="1447" spans="4:4" x14ac:dyDescent="0.25">
      <c r="D1447" s="35"/>
    </row>
    <row r="1448" spans="4:4" x14ac:dyDescent="0.25">
      <c r="D1448" s="35"/>
    </row>
    <row r="1449" spans="4:4" x14ac:dyDescent="0.25">
      <c r="D1449" s="35"/>
    </row>
    <row r="1450" spans="4:4" x14ac:dyDescent="0.25">
      <c r="D1450" s="35"/>
    </row>
    <row r="1451" spans="4:4" x14ac:dyDescent="0.25">
      <c r="D1451" s="35"/>
    </row>
    <row r="1452" spans="4:4" x14ac:dyDescent="0.25">
      <c r="D1452" s="35"/>
    </row>
    <row r="1453" spans="4:4" x14ac:dyDescent="0.25">
      <c r="D1453" s="35"/>
    </row>
    <row r="1454" spans="4:4" x14ac:dyDescent="0.25">
      <c r="D1454" s="35"/>
    </row>
    <row r="1455" spans="4:4" x14ac:dyDescent="0.25">
      <c r="D1455" s="35"/>
    </row>
    <row r="1456" spans="4:4" x14ac:dyDescent="0.25">
      <c r="D1456" s="35"/>
    </row>
    <row r="1457" spans="4:4" x14ac:dyDescent="0.25">
      <c r="D1457" s="35"/>
    </row>
    <row r="1458" spans="4:4" x14ac:dyDescent="0.25">
      <c r="D1458" s="35"/>
    </row>
    <row r="1459" spans="4:4" x14ac:dyDescent="0.25">
      <c r="D1459" s="35"/>
    </row>
    <row r="1460" spans="4:4" x14ac:dyDescent="0.25">
      <c r="D1460" s="35"/>
    </row>
    <row r="1461" spans="4:4" x14ac:dyDescent="0.25">
      <c r="D1461" s="35"/>
    </row>
    <row r="1462" spans="4:4" x14ac:dyDescent="0.25">
      <c r="D1462" s="35"/>
    </row>
    <row r="1463" spans="4:4" x14ac:dyDescent="0.25">
      <c r="D1463" s="35"/>
    </row>
    <row r="1464" spans="4:4" x14ac:dyDescent="0.25">
      <c r="D1464" s="35"/>
    </row>
    <row r="1465" spans="4:4" x14ac:dyDescent="0.25">
      <c r="D1465" s="35"/>
    </row>
    <row r="1466" spans="4:4" x14ac:dyDescent="0.25">
      <c r="D1466" s="35"/>
    </row>
    <row r="1467" spans="4:4" x14ac:dyDescent="0.25">
      <c r="D1467" s="35"/>
    </row>
    <row r="1468" spans="4:4" x14ac:dyDescent="0.25">
      <c r="D1468" s="35"/>
    </row>
    <row r="1469" spans="4:4" x14ac:dyDescent="0.25">
      <c r="D1469" s="35"/>
    </row>
    <row r="1470" spans="4:4" x14ac:dyDescent="0.25">
      <c r="D1470" s="35"/>
    </row>
    <row r="1471" spans="4:4" x14ac:dyDescent="0.25">
      <c r="D1471" s="35"/>
    </row>
    <row r="1472" spans="4:4" x14ac:dyDescent="0.25">
      <c r="D1472" s="35"/>
    </row>
    <row r="1473" spans="4:4" x14ac:dyDescent="0.25">
      <c r="D1473" s="35"/>
    </row>
    <row r="1474" spans="4:4" x14ac:dyDescent="0.25">
      <c r="D1474" s="35"/>
    </row>
    <row r="1475" spans="4:4" x14ac:dyDescent="0.25">
      <c r="D1475" s="35"/>
    </row>
    <row r="1476" spans="4:4" x14ac:dyDescent="0.25">
      <c r="D1476" s="35"/>
    </row>
    <row r="1477" spans="4:4" x14ac:dyDescent="0.25">
      <c r="D1477" s="35"/>
    </row>
    <row r="1478" spans="4:4" x14ac:dyDescent="0.25">
      <c r="D1478" s="35"/>
    </row>
    <row r="1479" spans="4:4" x14ac:dyDescent="0.25">
      <c r="D1479" s="35"/>
    </row>
    <row r="1480" spans="4:4" x14ac:dyDescent="0.25">
      <c r="D1480" s="35"/>
    </row>
    <row r="1481" spans="4:4" x14ac:dyDescent="0.25">
      <c r="D1481" s="35"/>
    </row>
    <row r="1482" spans="4:4" x14ac:dyDescent="0.25">
      <c r="D1482" s="35"/>
    </row>
    <row r="1483" spans="4:4" x14ac:dyDescent="0.25">
      <c r="D1483" s="35"/>
    </row>
    <row r="1484" spans="4:4" x14ac:dyDescent="0.25">
      <c r="D1484" s="35"/>
    </row>
    <row r="1485" spans="4:4" x14ac:dyDescent="0.25">
      <c r="D1485" s="35"/>
    </row>
    <row r="1486" spans="4:4" x14ac:dyDescent="0.25">
      <c r="D1486" s="35"/>
    </row>
    <row r="1487" spans="4:4" x14ac:dyDescent="0.25">
      <c r="D1487" s="35"/>
    </row>
    <row r="1488" spans="4:4" x14ac:dyDescent="0.25">
      <c r="D1488" s="35"/>
    </row>
    <row r="1489" spans="4:4" x14ac:dyDescent="0.25">
      <c r="D1489" s="35"/>
    </row>
    <row r="1490" spans="4:4" x14ac:dyDescent="0.25">
      <c r="D1490" s="35"/>
    </row>
    <row r="1491" spans="4:4" x14ac:dyDescent="0.25">
      <c r="D1491" s="35"/>
    </row>
    <row r="1492" spans="4:4" x14ac:dyDescent="0.25">
      <c r="D1492" s="35"/>
    </row>
    <row r="1493" spans="4:4" x14ac:dyDescent="0.25">
      <c r="D1493" s="35"/>
    </row>
    <row r="1494" spans="4:4" x14ac:dyDescent="0.25">
      <c r="D1494" s="35"/>
    </row>
    <row r="1495" spans="4:4" x14ac:dyDescent="0.25">
      <c r="D1495" s="35"/>
    </row>
    <row r="1496" spans="4:4" x14ac:dyDescent="0.25">
      <c r="D1496" s="35"/>
    </row>
    <row r="1497" spans="4:4" x14ac:dyDescent="0.25">
      <c r="D1497" s="35"/>
    </row>
    <row r="1498" spans="4:4" x14ac:dyDescent="0.25">
      <c r="D1498" s="35"/>
    </row>
    <row r="1499" spans="4:4" x14ac:dyDescent="0.25">
      <c r="D1499" s="35"/>
    </row>
    <row r="1500" spans="4:4" x14ac:dyDescent="0.25">
      <c r="D1500" s="35"/>
    </row>
    <row r="1501" spans="4:4" x14ac:dyDescent="0.25">
      <c r="D1501" s="35"/>
    </row>
    <row r="1502" spans="4:4" x14ac:dyDescent="0.25">
      <c r="D1502" s="35"/>
    </row>
    <row r="1503" spans="4:4" x14ac:dyDescent="0.25">
      <c r="D1503" s="35"/>
    </row>
    <row r="1504" spans="4:4" x14ac:dyDescent="0.25">
      <c r="D1504" s="35"/>
    </row>
    <row r="1505" spans="4:4" x14ac:dyDescent="0.25">
      <c r="D1505" s="35"/>
    </row>
    <row r="1506" spans="4:4" x14ac:dyDescent="0.25">
      <c r="D1506" s="35"/>
    </row>
    <row r="1507" spans="4:4" x14ac:dyDescent="0.25">
      <c r="D1507" s="35"/>
    </row>
    <row r="1508" spans="4:4" x14ac:dyDescent="0.25">
      <c r="D1508" s="35"/>
    </row>
    <row r="1509" spans="4:4" x14ac:dyDescent="0.25">
      <c r="D1509" s="35"/>
    </row>
    <row r="1510" spans="4:4" x14ac:dyDescent="0.25">
      <c r="D1510" s="35"/>
    </row>
    <row r="1511" spans="4:4" x14ac:dyDescent="0.25">
      <c r="D1511" s="35"/>
    </row>
    <row r="1512" spans="4:4" x14ac:dyDescent="0.25">
      <c r="D1512" s="35"/>
    </row>
    <row r="1513" spans="4:4" x14ac:dyDescent="0.25">
      <c r="D1513" s="35"/>
    </row>
    <row r="1514" spans="4:4" x14ac:dyDescent="0.25">
      <c r="D1514" s="35"/>
    </row>
    <row r="1515" spans="4:4" x14ac:dyDescent="0.25">
      <c r="D1515" s="35"/>
    </row>
    <row r="1516" spans="4:4" x14ac:dyDescent="0.25">
      <c r="D1516" s="35"/>
    </row>
    <row r="1517" spans="4:4" x14ac:dyDescent="0.25">
      <c r="D1517" s="35"/>
    </row>
    <row r="1518" spans="4:4" x14ac:dyDescent="0.25">
      <c r="D1518" s="35"/>
    </row>
    <row r="1519" spans="4:4" x14ac:dyDescent="0.25">
      <c r="D1519" s="35"/>
    </row>
    <row r="1520" spans="4:4" x14ac:dyDescent="0.25">
      <c r="D1520" s="35"/>
    </row>
    <row r="1521" spans="4:4" x14ac:dyDescent="0.25">
      <c r="D1521" s="35"/>
    </row>
    <row r="1522" spans="4:4" x14ac:dyDescent="0.25">
      <c r="D1522" s="35"/>
    </row>
    <row r="1523" spans="4:4" x14ac:dyDescent="0.25">
      <c r="D1523" s="35"/>
    </row>
    <row r="1524" spans="4:4" x14ac:dyDescent="0.25">
      <c r="D1524" s="35"/>
    </row>
    <row r="1525" spans="4:4" x14ac:dyDescent="0.25">
      <c r="D1525" s="35"/>
    </row>
    <row r="1526" spans="4:4" x14ac:dyDescent="0.25">
      <c r="D1526" s="35"/>
    </row>
    <row r="1527" spans="4:4" x14ac:dyDescent="0.25">
      <c r="D1527" s="35"/>
    </row>
    <row r="1528" spans="4:4" x14ac:dyDescent="0.25">
      <c r="D1528" s="35"/>
    </row>
    <row r="1529" spans="4:4" x14ac:dyDescent="0.25">
      <c r="D1529" s="35"/>
    </row>
    <row r="1530" spans="4:4" x14ac:dyDescent="0.25">
      <c r="D1530" s="35"/>
    </row>
    <row r="1531" spans="4:4" x14ac:dyDescent="0.25">
      <c r="D1531" s="35"/>
    </row>
    <row r="1532" spans="4:4" x14ac:dyDescent="0.25">
      <c r="D1532" s="35"/>
    </row>
    <row r="1533" spans="4:4" x14ac:dyDescent="0.25">
      <c r="D1533" s="35"/>
    </row>
    <row r="1534" spans="4:4" x14ac:dyDescent="0.25">
      <c r="D1534" s="35"/>
    </row>
    <row r="1535" spans="4:4" x14ac:dyDescent="0.25">
      <c r="D1535" s="35"/>
    </row>
    <row r="1536" spans="4:4" x14ac:dyDescent="0.25">
      <c r="D1536" s="35"/>
    </row>
    <row r="1537" spans="4:4" x14ac:dyDescent="0.25">
      <c r="D1537" s="35"/>
    </row>
    <row r="1538" spans="4:4" x14ac:dyDescent="0.25">
      <c r="D1538" s="35"/>
    </row>
    <row r="1539" spans="4:4" x14ac:dyDescent="0.25">
      <c r="D1539" s="35"/>
    </row>
    <row r="1540" spans="4:4" x14ac:dyDescent="0.25">
      <c r="D1540" s="35"/>
    </row>
    <row r="1541" spans="4:4" x14ac:dyDescent="0.25">
      <c r="D1541" s="35"/>
    </row>
    <row r="1542" spans="4:4" x14ac:dyDescent="0.25">
      <c r="D1542" s="35"/>
    </row>
    <row r="1543" spans="4:4" x14ac:dyDescent="0.25">
      <c r="D1543" s="35"/>
    </row>
    <row r="1544" spans="4:4" x14ac:dyDescent="0.25">
      <c r="D1544" s="35"/>
    </row>
    <row r="1545" spans="4:4" x14ac:dyDescent="0.25">
      <c r="D1545" s="35"/>
    </row>
    <row r="1546" spans="4:4" x14ac:dyDescent="0.25">
      <c r="D1546" s="35"/>
    </row>
    <row r="1547" spans="4:4" x14ac:dyDescent="0.25">
      <c r="D1547" s="35"/>
    </row>
    <row r="1548" spans="4:4" x14ac:dyDescent="0.25">
      <c r="D1548" s="35"/>
    </row>
    <row r="1549" spans="4:4" x14ac:dyDescent="0.25">
      <c r="D1549" s="35"/>
    </row>
    <row r="1550" spans="4:4" x14ac:dyDescent="0.25">
      <c r="D1550" s="35"/>
    </row>
    <row r="1551" spans="4:4" x14ac:dyDescent="0.25">
      <c r="D1551" s="35"/>
    </row>
    <row r="1552" spans="4:4" x14ac:dyDescent="0.25">
      <c r="D1552" s="35"/>
    </row>
    <row r="1553" spans="4:4" x14ac:dyDescent="0.25">
      <c r="D1553" s="35"/>
    </row>
    <row r="1554" spans="4:4" x14ac:dyDescent="0.25">
      <c r="D1554" s="35"/>
    </row>
    <row r="1555" spans="4:4" x14ac:dyDescent="0.25">
      <c r="D1555" s="35"/>
    </row>
    <row r="1556" spans="4:4" x14ac:dyDescent="0.25">
      <c r="D1556" s="35"/>
    </row>
    <row r="1557" spans="4:4" x14ac:dyDescent="0.25">
      <c r="D1557" s="35"/>
    </row>
    <row r="1558" spans="4:4" x14ac:dyDescent="0.25">
      <c r="D1558" s="35"/>
    </row>
    <row r="1559" spans="4:4" x14ac:dyDescent="0.25">
      <c r="D1559" s="35"/>
    </row>
    <row r="1560" spans="4:4" x14ac:dyDescent="0.25">
      <c r="D1560" s="35"/>
    </row>
    <row r="1561" spans="4:4" x14ac:dyDescent="0.25">
      <c r="D1561" s="35"/>
    </row>
    <row r="1562" spans="4:4" x14ac:dyDescent="0.25">
      <c r="D1562" s="35"/>
    </row>
    <row r="1563" spans="4:4" x14ac:dyDescent="0.25">
      <c r="D1563" s="35"/>
    </row>
    <row r="1564" spans="4:4" x14ac:dyDescent="0.25">
      <c r="D1564" s="35"/>
    </row>
    <row r="1565" spans="4:4" x14ac:dyDescent="0.25">
      <c r="D1565" s="35"/>
    </row>
    <row r="1566" spans="4:4" x14ac:dyDescent="0.25">
      <c r="D1566" s="35"/>
    </row>
    <row r="1567" spans="4:4" x14ac:dyDescent="0.25">
      <c r="D1567" s="35"/>
    </row>
    <row r="1568" spans="4:4" x14ac:dyDescent="0.25">
      <c r="D1568" s="35"/>
    </row>
    <row r="1569" spans="4:4" x14ac:dyDescent="0.25">
      <c r="D1569" s="35"/>
    </row>
    <row r="1570" spans="4:4" x14ac:dyDescent="0.25">
      <c r="D1570" s="35"/>
    </row>
    <row r="1571" spans="4:4" x14ac:dyDescent="0.25">
      <c r="D1571" s="35"/>
    </row>
    <row r="1572" spans="4:4" x14ac:dyDescent="0.25">
      <c r="D1572" s="35"/>
    </row>
    <row r="1573" spans="4:4" x14ac:dyDescent="0.25">
      <c r="D1573" s="35"/>
    </row>
    <row r="1574" spans="4:4" x14ac:dyDescent="0.25">
      <c r="D1574" s="35"/>
    </row>
    <row r="1575" spans="4:4" x14ac:dyDescent="0.25">
      <c r="D1575" s="35"/>
    </row>
    <row r="1576" spans="4:4" x14ac:dyDescent="0.25">
      <c r="D1576" s="35"/>
    </row>
    <row r="1577" spans="4:4" x14ac:dyDescent="0.25">
      <c r="D1577" s="35"/>
    </row>
    <row r="1578" spans="4:4" x14ac:dyDescent="0.25">
      <c r="D1578" s="35"/>
    </row>
    <row r="1579" spans="4:4" x14ac:dyDescent="0.25">
      <c r="D1579" s="35"/>
    </row>
    <row r="1580" spans="4:4" x14ac:dyDescent="0.25">
      <c r="D1580" s="35"/>
    </row>
    <row r="1581" spans="4:4" x14ac:dyDescent="0.25">
      <c r="D1581" s="35"/>
    </row>
    <row r="1582" spans="4:4" x14ac:dyDescent="0.25">
      <c r="D1582" s="35"/>
    </row>
    <row r="1583" spans="4:4" x14ac:dyDescent="0.25">
      <c r="D1583" s="35"/>
    </row>
    <row r="1584" spans="4:4" x14ac:dyDescent="0.25">
      <c r="D1584" s="35"/>
    </row>
    <row r="1585" spans="4:4" x14ac:dyDescent="0.25">
      <c r="D1585" s="35"/>
    </row>
    <row r="1586" spans="4:4" x14ac:dyDescent="0.25">
      <c r="D1586" s="35"/>
    </row>
    <row r="1587" spans="4:4" x14ac:dyDescent="0.25">
      <c r="D1587" s="35"/>
    </row>
    <row r="1588" spans="4:4" x14ac:dyDescent="0.25">
      <c r="D1588" s="35"/>
    </row>
    <row r="1589" spans="4:4" x14ac:dyDescent="0.25">
      <c r="D1589" s="35"/>
    </row>
    <row r="1590" spans="4:4" x14ac:dyDescent="0.25">
      <c r="D1590" s="35"/>
    </row>
    <row r="1591" spans="4:4" x14ac:dyDescent="0.25">
      <c r="D1591" s="35"/>
    </row>
    <row r="1592" spans="4:4" x14ac:dyDescent="0.25">
      <c r="D1592" s="35"/>
    </row>
    <row r="1593" spans="4:4" x14ac:dyDescent="0.25">
      <c r="D1593" s="35"/>
    </row>
    <row r="1594" spans="4:4" x14ac:dyDescent="0.25">
      <c r="D1594" s="35"/>
    </row>
    <row r="1595" spans="4:4" x14ac:dyDescent="0.25">
      <c r="D1595" s="35"/>
    </row>
    <row r="1596" spans="4:4" x14ac:dyDescent="0.25">
      <c r="D1596" s="35"/>
    </row>
    <row r="1597" spans="4:4" x14ac:dyDescent="0.25">
      <c r="D1597" s="35"/>
    </row>
    <row r="1598" spans="4:4" x14ac:dyDescent="0.25">
      <c r="D1598" s="35"/>
    </row>
    <row r="1599" spans="4:4" x14ac:dyDescent="0.25">
      <c r="D1599" s="35"/>
    </row>
    <row r="1600" spans="4:4" x14ac:dyDescent="0.25">
      <c r="D1600" s="35"/>
    </row>
    <row r="1601" spans="4:4" x14ac:dyDescent="0.25">
      <c r="D1601" s="35"/>
    </row>
    <row r="1602" spans="4:4" x14ac:dyDescent="0.25">
      <c r="D1602" s="35"/>
    </row>
    <row r="1603" spans="4:4" x14ac:dyDescent="0.25">
      <c r="D1603" s="35"/>
    </row>
    <row r="1604" spans="4:4" x14ac:dyDescent="0.25">
      <c r="D1604" s="35"/>
    </row>
    <row r="1605" spans="4:4" x14ac:dyDescent="0.25">
      <c r="D1605" s="35"/>
    </row>
    <row r="1606" spans="4:4" x14ac:dyDescent="0.25">
      <c r="D1606" s="35"/>
    </row>
    <row r="1607" spans="4:4" x14ac:dyDescent="0.25">
      <c r="D1607" s="35"/>
    </row>
    <row r="1608" spans="4:4" x14ac:dyDescent="0.25">
      <c r="D1608" s="35"/>
    </row>
    <row r="1609" spans="4:4" x14ac:dyDescent="0.25">
      <c r="D1609" s="35"/>
    </row>
    <row r="1610" spans="4:4" x14ac:dyDescent="0.25">
      <c r="D1610" s="35"/>
    </row>
    <row r="1611" spans="4:4" x14ac:dyDescent="0.25">
      <c r="D1611" s="35"/>
    </row>
    <row r="1612" spans="4:4" x14ac:dyDescent="0.25">
      <c r="D1612" s="35"/>
    </row>
    <row r="1613" spans="4:4" x14ac:dyDescent="0.25">
      <c r="D1613" s="35"/>
    </row>
    <row r="1614" spans="4:4" x14ac:dyDescent="0.25">
      <c r="D1614" s="35"/>
    </row>
    <row r="1615" spans="4:4" x14ac:dyDescent="0.25">
      <c r="D1615" s="35"/>
    </row>
    <row r="1616" spans="4:4" x14ac:dyDescent="0.25">
      <c r="D1616" s="35"/>
    </row>
    <row r="1617" spans="4:4" x14ac:dyDescent="0.25">
      <c r="D1617" s="35"/>
    </row>
    <row r="1618" spans="4:4" x14ac:dyDescent="0.25">
      <c r="D1618" s="35"/>
    </row>
    <row r="1619" spans="4:4" x14ac:dyDescent="0.25">
      <c r="D1619" s="35"/>
    </row>
    <row r="1620" spans="4:4" x14ac:dyDescent="0.25">
      <c r="D1620" s="35"/>
    </row>
    <row r="1621" spans="4:4" x14ac:dyDescent="0.25">
      <c r="D1621" s="35"/>
    </row>
    <row r="1622" spans="4:4" x14ac:dyDescent="0.25">
      <c r="D1622" s="35"/>
    </row>
    <row r="1623" spans="4:4" x14ac:dyDescent="0.25">
      <c r="D1623" s="35"/>
    </row>
    <row r="1624" spans="4:4" x14ac:dyDescent="0.25">
      <c r="D1624" s="35"/>
    </row>
    <row r="1625" spans="4:4" x14ac:dyDescent="0.25">
      <c r="D1625" s="35"/>
    </row>
    <row r="1626" spans="4:4" x14ac:dyDescent="0.25">
      <c r="D1626" s="35"/>
    </row>
    <row r="1627" spans="4:4" x14ac:dyDescent="0.25">
      <c r="D1627" s="35"/>
    </row>
    <row r="1628" spans="4:4" x14ac:dyDescent="0.25">
      <c r="D1628" s="35"/>
    </row>
    <row r="1629" spans="4:4" x14ac:dyDescent="0.25">
      <c r="D1629" s="35"/>
    </row>
    <row r="1630" spans="4:4" x14ac:dyDescent="0.25">
      <c r="D1630" s="35"/>
    </row>
    <row r="1631" spans="4:4" x14ac:dyDescent="0.25">
      <c r="D1631" s="35"/>
    </row>
    <row r="1632" spans="4:4" x14ac:dyDescent="0.25">
      <c r="D1632" s="35"/>
    </row>
    <row r="1633" spans="4:4" x14ac:dyDescent="0.25">
      <c r="D1633" s="35"/>
    </row>
    <row r="1634" spans="4:4" x14ac:dyDescent="0.25">
      <c r="D1634" s="35"/>
    </row>
    <row r="1635" spans="4:4" x14ac:dyDescent="0.25">
      <c r="D1635" s="35"/>
    </row>
    <row r="1636" spans="4:4" x14ac:dyDescent="0.25">
      <c r="D1636" s="35"/>
    </row>
    <row r="1637" spans="4:4" x14ac:dyDescent="0.25">
      <c r="D1637" s="35"/>
    </row>
    <row r="1638" spans="4:4" x14ac:dyDescent="0.25">
      <c r="D1638" s="35"/>
    </row>
    <row r="1639" spans="4:4" x14ac:dyDescent="0.25">
      <c r="D1639" s="35"/>
    </row>
    <row r="1640" spans="4:4" x14ac:dyDescent="0.25">
      <c r="D1640" s="35"/>
    </row>
    <row r="1641" spans="4:4" x14ac:dyDescent="0.25">
      <c r="D1641" s="35"/>
    </row>
    <row r="1642" spans="4:4" x14ac:dyDescent="0.25">
      <c r="D1642" s="35"/>
    </row>
    <row r="1643" spans="4:4" x14ac:dyDescent="0.25">
      <c r="D1643" s="35"/>
    </row>
    <row r="1644" spans="4:4" x14ac:dyDescent="0.25">
      <c r="D1644" s="35"/>
    </row>
    <row r="1645" spans="4:4" x14ac:dyDescent="0.25">
      <c r="D1645" s="35"/>
    </row>
    <row r="1646" spans="4:4" x14ac:dyDescent="0.25">
      <c r="D1646" s="35"/>
    </row>
    <row r="1647" spans="4:4" x14ac:dyDescent="0.25">
      <c r="D1647" s="35"/>
    </row>
    <row r="1648" spans="4:4" x14ac:dyDescent="0.25">
      <c r="D1648" s="35"/>
    </row>
    <row r="1649" spans="4:4" x14ac:dyDescent="0.25">
      <c r="D1649" s="35"/>
    </row>
    <row r="1650" spans="4:4" x14ac:dyDescent="0.25">
      <c r="D1650" s="35"/>
    </row>
    <row r="1651" spans="4:4" x14ac:dyDescent="0.25">
      <c r="D1651" s="35"/>
    </row>
    <row r="1652" spans="4:4" x14ac:dyDescent="0.25">
      <c r="D1652" s="35"/>
    </row>
    <row r="1653" spans="4:4" x14ac:dyDescent="0.25">
      <c r="D1653" s="35"/>
    </row>
    <row r="1654" spans="4:4" x14ac:dyDescent="0.25">
      <c r="D1654" s="35"/>
    </row>
    <row r="1655" spans="4:4" x14ac:dyDescent="0.25">
      <c r="D1655" s="35"/>
    </row>
    <row r="1656" spans="4:4" x14ac:dyDescent="0.25">
      <c r="D1656" s="35"/>
    </row>
    <row r="1657" spans="4:4" x14ac:dyDescent="0.25">
      <c r="D1657" s="35"/>
    </row>
    <row r="1658" spans="4:4" x14ac:dyDescent="0.25">
      <c r="D1658" s="35"/>
    </row>
    <row r="1659" spans="4:4" x14ac:dyDescent="0.25">
      <c r="D1659" s="35"/>
    </row>
    <row r="1660" spans="4:4" x14ac:dyDescent="0.25">
      <c r="D1660" s="35"/>
    </row>
    <row r="1661" spans="4:4" x14ac:dyDescent="0.25">
      <c r="D1661" s="35"/>
    </row>
    <row r="1662" spans="4:4" x14ac:dyDescent="0.25">
      <c r="D1662" s="35"/>
    </row>
    <row r="1663" spans="4:4" x14ac:dyDescent="0.25">
      <c r="D1663" s="35"/>
    </row>
    <row r="1664" spans="4:4" x14ac:dyDescent="0.25">
      <c r="D1664" s="35"/>
    </row>
    <row r="1665" spans="4:4" x14ac:dyDescent="0.25">
      <c r="D1665" s="35"/>
    </row>
    <row r="1666" spans="4:4" x14ac:dyDescent="0.25">
      <c r="D1666" s="35"/>
    </row>
    <row r="1667" spans="4:4" x14ac:dyDescent="0.25">
      <c r="D1667" s="35"/>
    </row>
    <row r="1668" spans="4:4" x14ac:dyDescent="0.25">
      <c r="D1668" s="35"/>
    </row>
    <row r="1669" spans="4:4" x14ac:dyDescent="0.25">
      <c r="D1669" s="35"/>
    </row>
    <row r="1670" spans="4:4" x14ac:dyDescent="0.25">
      <c r="D1670" s="35"/>
    </row>
    <row r="1671" spans="4:4" x14ac:dyDescent="0.25">
      <c r="D1671" s="35"/>
    </row>
    <row r="1672" spans="4:4" x14ac:dyDescent="0.25">
      <c r="D1672" s="35"/>
    </row>
    <row r="1673" spans="4:4" x14ac:dyDescent="0.25">
      <c r="D1673" s="35"/>
    </row>
    <row r="1674" spans="4:4" x14ac:dyDescent="0.25">
      <c r="D1674" s="35"/>
    </row>
    <row r="1675" spans="4:4" x14ac:dyDescent="0.25">
      <c r="D1675" s="35"/>
    </row>
    <row r="1676" spans="4:4" x14ac:dyDescent="0.25">
      <c r="D1676" s="35"/>
    </row>
    <row r="1677" spans="4:4" x14ac:dyDescent="0.25">
      <c r="D1677" s="35"/>
    </row>
    <row r="1678" spans="4:4" x14ac:dyDescent="0.25">
      <c r="D1678" s="35"/>
    </row>
    <row r="1679" spans="4:4" x14ac:dyDescent="0.25">
      <c r="D1679" s="35"/>
    </row>
    <row r="1680" spans="4:4" x14ac:dyDescent="0.25">
      <c r="D1680" s="35"/>
    </row>
    <row r="1681" spans="4:4" x14ac:dyDescent="0.25">
      <c r="D1681" s="35"/>
    </row>
    <row r="1682" spans="4:4" x14ac:dyDescent="0.25">
      <c r="D1682" s="35"/>
    </row>
    <row r="1683" spans="4:4" x14ac:dyDescent="0.25">
      <c r="D1683" s="35"/>
    </row>
    <row r="1684" spans="4:4" x14ac:dyDescent="0.25">
      <c r="D1684" s="35"/>
    </row>
    <row r="1685" spans="4:4" x14ac:dyDescent="0.25">
      <c r="D1685" s="35"/>
    </row>
    <row r="1686" spans="4:4" x14ac:dyDescent="0.25">
      <c r="D1686" s="35"/>
    </row>
    <row r="1687" spans="4:4" x14ac:dyDescent="0.25">
      <c r="D1687" s="35"/>
    </row>
    <row r="1688" spans="4:4" x14ac:dyDescent="0.25">
      <c r="D1688" s="35"/>
    </row>
    <row r="1689" spans="4:4" x14ac:dyDescent="0.25">
      <c r="D1689" s="35"/>
    </row>
    <row r="1690" spans="4:4" x14ac:dyDescent="0.25">
      <c r="D1690" s="35"/>
    </row>
    <row r="1691" spans="4:4" x14ac:dyDescent="0.25">
      <c r="D1691" s="35"/>
    </row>
    <row r="1692" spans="4:4" x14ac:dyDescent="0.25">
      <c r="D1692" s="35"/>
    </row>
    <row r="1693" spans="4:4" x14ac:dyDescent="0.25">
      <c r="D1693" s="35"/>
    </row>
    <row r="1694" spans="4:4" x14ac:dyDescent="0.25">
      <c r="D1694" s="35"/>
    </row>
    <row r="1695" spans="4:4" x14ac:dyDescent="0.25">
      <c r="D1695" s="35"/>
    </row>
    <row r="1696" spans="4:4" x14ac:dyDescent="0.25">
      <c r="D1696" s="35"/>
    </row>
    <row r="1697" spans="4:4" x14ac:dyDescent="0.25">
      <c r="D1697" s="35"/>
    </row>
    <row r="1698" spans="4:4" x14ac:dyDescent="0.25">
      <c r="D1698" s="35"/>
    </row>
    <row r="1699" spans="4:4" x14ac:dyDescent="0.25">
      <c r="D1699" s="35"/>
    </row>
    <row r="1700" spans="4:4" x14ac:dyDescent="0.25">
      <c r="D1700" s="35"/>
    </row>
    <row r="1701" spans="4:4" x14ac:dyDescent="0.25">
      <c r="D1701" s="35"/>
    </row>
    <row r="1702" spans="4:4" x14ac:dyDescent="0.25">
      <c r="D1702" s="35"/>
    </row>
    <row r="1703" spans="4:4" x14ac:dyDescent="0.25">
      <c r="D1703" s="35"/>
    </row>
    <row r="1704" spans="4:4" x14ac:dyDescent="0.25">
      <c r="D1704" s="35"/>
    </row>
    <row r="1705" spans="4:4" x14ac:dyDescent="0.25">
      <c r="D1705" s="35"/>
    </row>
    <row r="1706" spans="4:4" x14ac:dyDescent="0.25">
      <c r="D1706" s="35"/>
    </row>
    <row r="1707" spans="4:4" x14ac:dyDescent="0.25">
      <c r="D1707" s="35"/>
    </row>
    <row r="1708" spans="4:4" x14ac:dyDescent="0.25">
      <c r="D1708" s="35"/>
    </row>
    <row r="1709" spans="4:4" x14ac:dyDescent="0.25">
      <c r="D1709" s="35"/>
    </row>
    <row r="1710" spans="4:4" x14ac:dyDescent="0.25">
      <c r="D1710" s="35"/>
    </row>
    <row r="1711" spans="4:4" x14ac:dyDescent="0.25">
      <c r="D1711" s="35"/>
    </row>
    <row r="1712" spans="4:4" x14ac:dyDescent="0.25">
      <c r="D1712" s="35"/>
    </row>
    <row r="1713" spans="4:4" x14ac:dyDescent="0.25">
      <c r="D1713" s="35"/>
    </row>
    <row r="1714" spans="4:4" x14ac:dyDescent="0.25">
      <c r="D1714" s="35"/>
    </row>
    <row r="1715" spans="4:4" x14ac:dyDescent="0.25">
      <c r="D1715" s="35"/>
    </row>
    <row r="1716" spans="4:4" x14ac:dyDescent="0.25">
      <c r="D1716" s="35"/>
    </row>
    <row r="1717" spans="4:4" x14ac:dyDescent="0.25">
      <c r="D1717" s="35"/>
    </row>
    <row r="1718" spans="4:4" x14ac:dyDescent="0.25">
      <c r="D1718" s="35"/>
    </row>
    <row r="1719" spans="4:4" x14ac:dyDescent="0.25">
      <c r="D1719" s="35"/>
    </row>
    <row r="1720" spans="4:4" x14ac:dyDescent="0.25">
      <c r="D1720" s="35"/>
    </row>
    <row r="1721" spans="4:4" x14ac:dyDescent="0.25">
      <c r="D1721" s="35"/>
    </row>
    <row r="1722" spans="4:4" x14ac:dyDescent="0.25">
      <c r="D1722" s="35"/>
    </row>
    <row r="1723" spans="4:4" x14ac:dyDescent="0.25">
      <c r="D1723" s="35"/>
    </row>
    <row r="1724" spans="4:4" x14ac:dyDescent="0.25">
      <c r="D1724" s="35"/>
    </row>
    <row r="1725" spans="4:4" x14ac:dyDescent="0.25">
      <c r="D1725" s="35"/>
    </row>
    <row r="1726" spans="4:4" x14ac:dyDescent="0.25">
      <c r="D1726" s="35"/>
    </row>
    <row r="1727" spans="4:4" x14ac:dyDescent="0.25">
      <c r="D1727" s="35"/>
    </row>
    <row r="1728" spans="4:4" x14ac:dyDescent="0.25">
      <c r="D1728" s="35"/>
    </row>
    <row r="1729" spans="4:4" x14ac:dyDescent="0.25">
      <c r="D1729" s="35"/>
    </row>
    <row r="1730" spans="4:4" x14ac:dyDescent="0.25">
      <c r="D1730" s="35"/>
    </row>
    <row r="1731" spans="4:4" x14ac:dyDescent="0.25">
      <c r="D1731" s="35"/>
    </row>
    <row r="1732" spans="4:4" x14ac:dyDescent="0.25">
      <c r="D1732" s="35"/>
    </row>
    <row r="1733" spans="4:4" x14ac:dyDescent="0.25">
      <c r="D1733" s="35"/>
    </row>
    <row r="1734" spans="4:4" x14ac:dyDescent="0.25">
      <c r="D1734" s="35"/>
    </row>
    <row r="1735" spans="4:4" x14ac:dyDescent="0.25">
      <c r="D1735" s="35"/>
    </row>
    <row r="1736" spans="4:4" x14ac:dyDescent="0.25">
      <c r="D1736" s="35"/>
    </row>
    <row r="1737" spans="4:4" x14ac:dyDescent="0.25">
      <c r="D1737" s="35"/>
    </row>
    <row r="1738" spans="4:4" x14ac:dyDescent="0.25">
      <c r="D1738" s="35"/>
    </row>
    <row r="1739" spans="4:4" x14ac:dyDescent="0.25">
      <c r="D1739" s="35"/>
    </row>
    <row r="1740" spans="4:4" x14ac:dyDescent="0.25">
      <c r="D1740" s="35"/>
    </row>
    <row r="1741" spans="4:4" x14ac:dyDescent="0.25">
      <c r="D1741" s="35"/>
    </row>
    <row r="1742" spans="4:4" x14ac:dyDescent="0.25">
      <c r="D1742" s="35"/>
    </row>
    <row r="1743" spans="4:4" x14ac:dyDescent="0.25">
      <c r="D1743" s="35"/>
    </row>
    <row r="1744" spans="4:4" x14ac:dyDescent="0.25">
      <c r="D1744" s="35"/>
    </row>
    <row r="1745" spans="4:4" x14ac:dyDescent="0.25">
      <c r="D1745" s="35"/>
    </row>
    <row r="1746" spans="4:4" x14ac:dyDescent="0.25">
      <c r="D1746" s="35"/>
    </row>
    <row r="1747" spans="4:4" x14ac:dyDescent="0.25">
      <c r="D1747" s="35"/>
    </row>
    <row r="1748" spans="4:4" x14ac:dyDescent="0.25">
      <c r="D1748" s="35"/>
    </row>
    <row r="1749" spans="4:4" x14ac:dyDescent="0.25">
      <c r="D1749" s="35"/>
    </row>
    <row r="1750" spans="4:4" x14ac:dyDescent="0.25">
      <c r="D1750" s="35"/>
    </row>
    <row r="1751" spans="4:4" x14ac:dyDescent="0.25">
      <c r="D1751" s="35"/>
    </row>
    <row r="1752" spans="4:4" x14ac:dyDescent="0.25">
      <c r="D1752" s="35"/>
    </row>
    <row r="1753" spans="4:4" x14ac:dyDescent="0.25">
      <c r="D1753" s="35"/>
    </row>
    <row r="1754" spans="4:4" x14ac:dyDescent="0.25">
      <c r="D1754" s="35"/>
    </row>
    <row r="1755" spans="4:4" x14ac:dyDescent="0.25">
      <c r="D1755" s="35"/>
    </row>
    <row r="1756" spans="4:4" x14ac:dyDescent="0.25">
      <c r="D1756" s="35"/>
    </row>
    <row r="1757" spans="4:4" x14ac:dyDescent="0.25">
      <c r="D1757" s="35"/>
    </row>
    <row r="1758" spans="4:4" x14ac:dyDescent="0.25">
      <c r="D1758" s="35"/>
    </row>
    <row r="1759" spans="4:4" x14ac:dyDescent="0.25">
      <c r="D1759" s="35"/>
    </row>
    <row r="1760" spans="4:4" x14ac:dyDescent="0.25">
      <c r="D1760" s="35"/>
    </row>
    <row r="1761" spans="4:4" x14ac:dyDescent="0.25">
      <c r="D1761" s="35"/>
    </row>
    <row r="1762" spans="4:4" x14ac:dyDescent="0.25">
      <c r="D1762" s="35"/>
    </row>
    <row r="1763" spans="4:4" x14ac:dyDescent="0.25">
      <c r="D1763" s="35"/>
    </row>
    <row r="1764" spans="4:4" x14ac:dyDescent="0.25">
      <c r="D1764" s="35"/>
    </row>
    <row r="1765" spans="4:4" x14ac:dyDescent="0.25">
      <c r="D1765" s="35"/>
    </row>
    <row r="1766" spans="4:4" x14ac:dyDescent="0.25">
      <c r="D1766" s="35"/>
    </row>
    <row r="1767" spans="4:4" x14ac:dyDescent="0.25">
      <c r="D1767" s="35"/>
    </row>
    <row r="1768" spans="4:4" x14ac:dyDescent="0.25">
      <c r="D1768" s="35"/>
    </row>
    <row r="1769" spans="4:4" x14ac:dyDescent="0.25">
      <c r="D1769" s="35"/>
    </row>
    <row r="1770" spans="4:4" x14ac:dyDescent="0.25">
      <c r="D1770" s="35"/>
    </row>
    <row r="1771" spans="4:4" x14ac:dyDescent="0.25">
      <c r="D1771" s="35"/>
    </row>
    <row r="1772" spans="4:4" x14ac:dyDescent="0.25">
      <c r="D1772" s="35"/>
    </row>
    <row r="1773" spans="4:4" x14ac:dyDescent="0.25">
      <c r="D1773" s="35"/>
    </row>
    <row r="1774" spans="4:4" x14ac:dyDescent="0.25">
      <c r="D1774" s="35"/>
    </row>
    <row r="1775" spans="4:4" x14ac:dyDescent="0.25">
      <c r="D1775" s="35"/>
    </row>
    <row r="1776" spans="4:4" x14ac:dyDescent="0.25">
      <c r="D1776" s="35"/>
    </row>
    <row r="1777" spans="4:4" x14ac:dyDescent="0.25">
      <c r="D1777" s="35"/>
    </row>
    <row r="1778" spans="4:4" x14ac:dyDescent="0.25">
      <c r="D1778" s="35"/>
    </row>
    <row r="1779" spans="4:4" x14ac:dyDescent="0.25">
      <c r="D1779" s="35"/>
    </row>
    <row r="1780" spans="4:4" x14ac:dyDescent="0.25">
      <c r="D1780" s="35"/>
    </row>
    <row r="1781" spans="4:4" x14ac:dyDescent="0.25">
      <c r="D1781" s="35"/>
    </row>
    <row r="1782" spans="4:4" x14ac:dyDescent="0.25">
      <c r="D1782" s="35"/>
    </row>
    <row r="1783" spans="4:4" x14ac:dyDescent="0.25">
      <c r="D1783" s="35"/>
    </row>
    <row r="1784" spans="4:4" x14ac:dyDescent="0.25">
      <c r="D1784" s="35"/>
    </row>
    <row r="1785" spans="4:4" x14ac:dyDescent="0.25">
      <c r="D1785" s="35"/>
    </row>
    <row r="1786" spans="4:4" x14ac:dyDescent="0.25">
      <c r="D1786" s="35"/>
    </row>
    <row r="1787" spans="4:4" x14ac:dyDescent="0.25">
      <c r="D1787" s="35"/>
    </row>
    <row r="1788" spans="4:4" x14ac:dyDescent="0.25">
      <c r="D1788" s="35"/>
    </row>
    <row r="1789" spans="4:4" x14ac:dyDescent="0.25">
      <c r="D1789" s="35"/>
    </row>
    <row r="1790" spans="4:4" x14ac:dyDescent="0.25">
      <c r="D1790" s="35"/>
    </row>
    <row r="1791" spans="4:4" x14ac:dyDescent="0.25">
      <c r="D1791" s="35"/>
    </row>
    <row r="1792" spans="4:4" x14ac:dyDescent="0.25">
      <c r="D1792" s="35"/>
    </row>
    <row r="1793" spans="4:4" x14ac:dyDescent="0.25">
      <c r="D1793" s="35"/>
    </row>
    <row r="1794" spans="4:4" x14ac:dyDescent="0.25">
      <c r="D1794" s="35"/>
    </row>
    <row r="1795" spans="4:4" x14ac:dyDescent="0.25">
      <c r="D1795" s="35"/>
    </row>
    <row r="1796" spans="4:4" x14ac:dyDescent="0.25">
      <c r="D1796" s="35"/>
    </row>
    <row r="1797" spans="4:4" x14ac:dyDescent="0.25">
      <c r="D1797" s="35"/>
    </row>
    <row r="1798" spans="4:4" x14ac:dyDescent="0.25">
      <c r="D1798" s="35"/>
    </row>
    <row r="1799" spans="4:4" x14ac:dyDescent="0.25">
      <c r="D1799" s="35"/>
    </row>
    <row r="1800" spans="4:4" x14ac:dyDescent="0.25">
      <c r="D1800" s="35"/>
    </row>
    <row r="1801" spans="4:4" x14ac:dyDescent="0.25">
      <c r="D1801" s="35"/>
    </row>
    <row r="1802" spans="4:4" x14ac:dyDescent="0.25">
      <c r="D1802" s="35"/>
    </row>
    <row r="1803" spans="4:4" x14ac:dyDescent="0.25">
      <c r="D1803" s="35"/>
    </row>
    <row r="1804" spans="4:4" x14ac:dyDescent="0.25">
      <c r="D1804" s="35"/>
    </row>
    <row r="1805" spans="4:4" x14ac:dyDescent="0.25">
      <c r="D1805" s="35"/>
    </row>
    <row r="1806" spans="4:4" x14ac:dyDescent="0.25">
      <c r="D1806" s="35"/>
    </row>
    <row r="1807" spans="4:4" x14ac:dyDescent="0.25">
      <c r="D1807" s="35"/>
    </row>
    <row r="1808" spans="4:4" x14ac:dyDescent="0.25">
      <c r="D1808" s="35"/>
    </row>
    <row r="1809" spans="4:4" x14ac:dyDescent="0.25">
      <c r="D1809" s="35"/>
    </row>
    <row r="1810" spans="4:4" x14ac:dyDescent="0.25">
      <c r="D1810" s="35"/>
    </row>
    <row r="1811" spans="4:4" x14ac:dyDescent="0.25">
      <c r="D1811" s="35"/>
    </row>
    <row r="1812" spans="4:4" x14ac:dyDescent="0.25">
      <c r="D1812" s="35"/>
    </row>
    <row r="1813" spans="4:4" x14ac:dyDescent="0.25">
      <c r="D1813" s="35"/>
    </row>
    <row r="1814" spans="4:4" x14ac:dyDescent="0.25">
      <c r="D1814" s="35"/>
    </row>
    <row r="1815" spans="4:4" x14ac:dyDescent="0.25">
      <c r="D1815" s="35"/>
    </row>
    <row r="1816" spans="4:4" x14ac:dyDescent="0.25">
      <c r="D1816" s="35"/>
    </row>
    <row r="1817" spans="4:4" x14ac:dyDescent="0.25">
      <c r="D1817" s="35"/>
    </row>
    <row r="1818" spans="4:4" x14ac:dyDescent="0.25">
      <c r="D1818" s="35"/>
    </row>
    <row r="1819" spans="4:4" x14ac:dyDescent="0.25">
      <c r="D1819" s="35"/>
    </row>
    <row r="1820" spans="4:4" x14ac:dyDescent="0.25">
      <c r="D1820" s="35"/>
    </row>
    <row r="1821" spans="4:4" x14ac:dyDescent="0.25">
      <c r="D1821" s="35"/>
    </row>
    <row r="1822" spans="4:4" x14ac:dyDescent="0.25">
      <c r="D1822" s="35"/>
    </row>
    <row r="1823" spans="4:4" x14ac:dyDescent="0.25">
      <c r="D1823" s="35"/>
    </row>
    <row r="1824" spans="4:4" x14ac:dyDescent="0.25">
      <c r="D1824" s="35"/>
    </row>
    <row r="1825" spans="4:4" x14ac:dyDescent="0.25">
      <c r="D1825" s="35"/>
    </row>
    <row r="1826" spans="4:4" x14ac:dyDescent="0.25">
      <c r="D1826" s="35"/>
    </row>
    <row r="1827" spans="4:4" x14ac:dyDescent="0.25">
      <c r="D1827" s="35"/>
    </row>
    <row r="1828" spans="4:4" x14ac:dyDescent="0.25">
      <c r="D1828" s="35"/>
    </row>
    <row r="1829" spans="4:4" x14ac:dyDescent="0.25">
      <c r="D1829" s="35"/>
    </row>
    <row r="1830" spans="4:4" x14ac:dyDescent="0.25">
      <c r="D1830" s="35"/>
    </row>
    <row r="1831" spans="4:4" x14ac:dyDescent="0.25">
      <c r="D1831" s="35"/>
    </row>
    <row r="1832" spans="4:4" x14ac:dyDescent="0.25">
      <c r="D1832" s="35"/>
    </row>
    <row r="1833" spans="4:4" x14ac:dyDescent="0.25">
      <c r="D1833" s="35"/>
    </row>
    <row r="1834" spans="4:4" x14ac:dyDescent="0.25">
      <c r="D1834" s="35"/>
    </row>
    <row r="1835" spans="4:4" x14ac:dyDescent="0.25">
      <c r="D1835" s="35"/>
    </row>
    <row r="1836" spans="4:4" x14ac:dyDescent="0.25">
      <c r="D1836" s="35"/>
    </row>
    <row r="1837" spans="4:4" x14ac:dyDescent="0.25">
      <c r="D1837" s="35"/>
    </row>
    <row r="1838" spans="4:4" x14ac:dyDescent="0.25">
      <c r="D1838" s="35"/>
    </row>
    <row r="1839" spans="4:4" x14ac:dyDescent="0.25">
      <c r="D1839" s="35"/>
    </row>
    <row r="1840" spans="4:4" x14ac:dyDescent="0.25">
      <c r="D1840" s="35"/>
    </row>
    <row r="1841" spans="4:4" x14ac:dyDescent="0.25">
      <c r="D1841" s="35"/>
    </row>
    <row r="1842" spans="4:4" x14ac:dyDescent="0.25">
      <c r="D1842" s="35"/>
    </row>
    <row r="1843" spans="4:4" x14ac:dyDescent="0.25">
      <c r="D1843" s="35"/>
    </row>
    <row r="1844" spans="4:4" x14ac:dyDescent="0.25">
      <c r="D1844" s="35"/>
    </row>
    <row r="1845" spans="4:4" x14ac:dyDescent="0.25">
      <c r="D1845" s="35"/>
    </row>
    <row r="1846" spans="4:4" x14ac:dyDescent="0.25">
      <c r="D1846" s="35"/>
    </row>
    <row r="1847" spans="4:4" x14ac:dyDescent="0.25">
      <c r="D1847" s="35"/>
    </row>
    <row r="1848" spans="4:4" x14ac:dyDescent="0.25">
      <c r="D1848" s="35"/>
    </row>
    <row r="1849" spans="4:4" x14ac:dyDescent="0.25">
      <c r="D1849" s="35"/>
    </row>
    <row r="1850" spans="4:4" x14ac:dyDescent="0.25">
      <c r="D1850" s="35"/>
    </row>
    <row r="1851" spans="4:4" x14ac:dyDescent="0.25">
      <c r="D1851" s="35"/>
    </row>
    <row r="1852" spans="4:4" x14ac:dyDescent="0.25">
      <c r="D1852" s="35"/>
    </row>
    <row r="1853" spans="4:4" x14ac:dyDescent="0.25">
      <c r="D1853" s="35"/>
    </row>
    <row r="1854" spans="4:4" x14ac:dyDescent="0.25">
      <c r="D1854" s="35"/>
    </row>
    <row r="1855" spans="4:4" x14ac:dyDescent="0.25">
      <c r="D1855" s="35"/>
    </row>
    <row r="1856" spans="4:4" x14ac:dyDescent="0.25">
      <c r="D1856" s="35"/>
    </row>
    <row r="1857" spans="4:4" x14ac:dyDescent="0.25">
      <c r="D1857" s="35"/>
    </row>
    <row r="1858" spans="4:4" x14ac:dyDescent="0.25">
      <c r="D1858" s="35"/>
    </row>
    <row r="1859" spans="4:4" x14ac:dyDescent="0.25">
      <c r="D1859" s="35"/>
    </row>
    <row r="1860" spans="4:4" x14ac:dyDescent="0.25">
      <c r="D1860" s="35"/>
    </row>
    <row r="1861" spans="4:4" x14ac:dyDescent="0.25">
      <c r="D1861" s="35"/>
    </row>
    <row r="1862" spans="4:4" x14ac:dyDescent="0.25">
      <c r="D1862" s="35"/>
    </row>
    <row r="1863" spans="4:4" x14ac:dyDescent="0.25">
      <c r="D1863" s="35"/>
    </row>
    <row r="1864" spans="4:4" x14ac:dyDescent="0.25">
      <c r="D1864" s="35"/>
    </row>
    <row r="1865" spans="4:4" x14ac:dyDescent="0.25">
      <c r="D1865" s="35"/>
    </row>
    <row r="1866" spans="4:4" x14ac:dyDescent="0.25">
      <c r="D1866" s="35"/>
    </row>
    <row r="1867" spans="4:4" x14ac:dyDescent="0.25">
      <c r="D1867" s="35"/>
    </row>
    <row r="1868" spans="4:4" x14ac:dyDescent="0.25">
      <c r="D1868" s="35"/>
    </row>
    <row r="1869" spans="4:4" x14ac:dyDescent="0.25">
      <c r="D1869" s="35"/>
    </row>
    <row r="1870" spans="4:4" x14ac:dyDescent="0.25">
      <c r="D1870" s="35"/>
    </row>
    <row r="1871" spans="4:4" x14ac:dyDescent="0.25">
      <c r="D1871" s="35"/>
    </row>
    <row r="1872" spans="4:4" x14ac:dyDescent="0.25">
      <c r="D1872" s="35"/>
    </row>
    <row r="1873" spans="4:4" x14ac:dyDescent="0.25">
      <c r="D1873" s="35"/>
    </row>
    <row r="1874" spans="4:4" x14ac:dyDescent="0.25">
      <c r="D1874" s="35"/>
    </row>
    <row r="1875" spans="4:4" x14ac:dyDescent="0.25">
      <c r="D1875" s="35"/>
    </row>
    <row r="1876" spans="4:4" x14ac:dyDescent="0.25">
      <c r="D1876" s="35"/>
    </row>
    <row r="1877" spans="4:4" x14ac:dyDescent="0.25">
      <c r="D1877" s="35"/>
    </row>
    <row r="1878" spans="4:4" x14ac:dyDescent="0.25">
      <c r="D1878" s="35"/>
    </row>
    <row r="1879" spans="4:4" x14ac:dyDescent="0.25">
      <c r="D1879" s="35"/>
    </row>
    <row r="1880" spans="4:4" x14ac:dyDescent="0.25">
      <c r="D1880" s="35"/>
    </row>
    <row r="1881" spans="4:4" x14ac:dyDescent="0.25">
      <c r="D1881" s="35"/>
    </row>
    <row r="1882" spans="4:4" x14ac:dyDescent="0.25">
      <c r="D1882" s="35"/>
    </row>
    <row r="1883" spans="4:4" x14ac:dyDescent="0.25">
      <c r="D1883" s="35"/>
    </row>
    <row r="1884" spans="4:4" x14ac:dyDescent="0.25">
      <c r="D1884" s="35"/>
    </row>
    <row r="1885" spans="4:4" x14ac:dyDescent="0.25">
      <c r="D1885" s="35"/>
    </row>
    <row r="1886" spans="4:4" x14ac:dyDescent="0.25">
      <c r="D1886" s="35"/>
    </row>
    <row r="1887" spans="4:4" x14ac:dyDescent="0.25">
      <c r="D1887" s="35"/>
    </row>
    <row r="1888" spans="4:4" x14ac:dyDescent="0.25">
      <c r="D1888" s="35"/>
    </row>
    <row r="1889" spans="4:4" x14ac:dyDescent="0.25">
      <c r="D1889" s="35"/>
    </row>
    <row r="1890" spans="4:4" x14ac:dyDescent="0.25">
      <c r="D1890" s="35"/>
    </row>
    <row r="1891" spans="4:4" x14ac:dyDescent="0.25">
      <c r="D1891" s="35"/>
    </row>
    <row r="1892" spans="4:4" x14ac:dyDescent="0.25">
      <c r="D1892" s="35"/>
    </row>
    <row r="1893" spans="4:4" x14ac:dyDescent="0.25">
      <c r="D1893" s="35"/>
    </row>
    <row r="1894" spans="4:4" x14ac:dyDescent="0.25">
      <c r="D1894" s="35"/>
    </row>
    <row r="1895" spans="4:4" x14ac:dyDescent="0.25">
      <c r="D1895" s="35"/>
    </row>
    <row r="1896" spans="4:4" x14ac:dyDescent="0.25">
      <c r="D1896" s="35"/>
    </row>
    <row r="1897" spans="4:4" x14ac:dyDescent="0.25">
      <c r="D1897" s="35"/>
    </row>
    <row r="1898" spans="4:4" x14ac:dyDescent="0.25">
      <c r="D1898" s="35"/>
    </row>
    <row r="1899" spans="4:4" x14ac:dyDescent="0.25">
      <c r="D1899" s="35"/>
    </row>
    <row r="1900" spans="4:4" x14ac:dyDescent="0.25">
      <c r="D1900" s="35"/>
    </row>
    <row r="1901" spans="4:4" x14ac:dyDescent="0.25">
      <c r="D1901" s="35"/>
    </row>
    <row r="1902" spans="4:4" x14ac:dyDescent="0.25">
      <c r="D1902" s="35"/>
    </row>
    <row r="1903" spans="4:4" x14ac:dyDescent="0.25">
      <c r="D1903" s="35"/>
    </row>
    <row r="1904" spans="4:4" x14ac:dyDescent="0.25">
      <c r="D1904" s="35"/>
    </row>
    <row r="1905" spans="4:4" x14ac:dyDescent="0.25">
      <c r="D1905" s="35"/>
    </row>
    <row r="1906" spans="4:4" x14ac:dyDescent="0.25">
      <c r="D1906" s="35"/>
    </row>
    <row r="1907" spans="4:4" x14ac:dyDescent="0.25">
      <c r="D1907" s="35"/>
    </row>
    <row r="1908" spans="4:4" x14ac:dyDescent="0.25">
      <c r="D1908" s="35"/>
    </row>
    <row r="1909" spans="4:4" x14ac:dyDescent="0.25">
      <c r="D1909" s="35"/>
    </row>
    <row r="1910" spans="4:4" x14ac:dyDescent="0.25">
      <c r="D1910" s="35"/>
    </row>
    <row r="1911" spans="4:4" x14ac:dyDescent="0.25">
      <c r="D1911" s="35"/>
    </row>
    <row r="1912" spans="4:4" x14ac:dyDescent="0.25">
      <c r="D1912" s="35"/>
    </row>
    <row r="1913" spans="4:4" x14ac:dyDescent="0.25">
      <c r="D1913" s="35"/>
    </row>
    <row r="1914" spans="4:4" x14ac:dyDescent="0.25">
      <c r="D1914" s="35"/>
    </row>
    <row r="1915" spans="4:4" x14ac:dyDescent="0.25">
      <c r="D1915" s="35"/>
    </row>
    <row r="1916" spans="4:4" x14ac:dyDescent="0.25">
      <c r="D1916" s="35"/>
    </row>
    <row r="1917" spans="4:4" x14ac:dyDescent="0.25">
      <c r="D1917" s="35"/>
    </row>
    <row r="1918" spans="4:4" x14ac:dyDescent="0.25">
      <c r="D1918" s="35"/>
    </row>
    <row r="1919" spans="4:4" x14ac:dyDescent="0.25">
      <c r="D1919" s="35"/>
    </row>
    <row r="1920" spans="4:4" x14ac:dyDescent="0.25">
      <c r="D1920" s="35"/>
    </row>
    <row r="1921" spans="4:4" x14ac:dyDescent="0.25">
      <c r="D1921" s="35"/>
    </row>
    <row r="1922" spans="4:4" x14ac:dyDescent="0.25">
      <c r="D1922" s="35"/>
    </row>
    <row r="1923" spans="4:4" x14ac:dyDescent="0.25">
      <c r="D1923" s="35"/>
    </row>
    <row r="1924" spans="4:4" x14ac:dyDescent="0.25">
      <c r="D1924" s="35"/>
    </row>
    <row r="1925" spans="4:4" x14ac:dyDescent="0.25">
      <c r="D1925" s="35"/>
    </row>
    <row r="1926" spans="4:4" x14ac:dyDescent="0.25">
      <c r="D1926" s="35"/>
    </row>
    <row r="1927" spans="4:4" x14ac:dyDescent="0.25">
      <c r="D1927" s="35"/>
    </row>
    <row r="1928" spans="4:4" x14ac:dyDescent="0.25">
      <c r="D1928" s="35"/>
    </row>
    <row r="1929" spans="4:4" x14ac:dyDescent="0.25">
      <c r="D1929" s="35"/>
    </row>
    <row r="1930" spans="4:4" x14ac:dyDescent="0.25">
      <c r="D1930" s="35"/>
    </row>
    <row r="1931" spans="4:4" x14ac:dyDescent="0.25">
      <c r="D1931" s="35"/>
    </row>
    <row r="1932" spans="4:4" x14ac:dyDescent="0.25">
      <c r="D1932" s="35"/>
    </row>
    <row r="1933" spans="4:4" x14ac:dyDescent="0.25">
      <c r="D1933" s="35"/>
    </row>
    <row r="1934" spans="4:4" x14ac:dyDescent="0.25">
      <c r="D1934" s="35"/>
    </row>
    <row r="1935" spans="4:4" x14ac:dyDescent="0.25">
      <c r="D1935" s="35"/>
    </row>
    <row r="1936" spans="4:4" x14ac:dyDescent="0.25">
      <c r="D1936" s="35"/>
    </row>
    <row r="1937" spans="4:4" x14ac:dyDescent="0.25">
      <c r="D1937" s="35"/>
    </row>
    <row r="1938" spans="4:4" x14ac:dyDescent="0.25">
      <c r="D1938" s="35"/>
    </row>
    <row r="1939" spans="4:4" x14ac:dyDescent="0.25">
      <c r="D1939" s="35"/>
    </row>
    <row r="1940" spans="4:4" x14ac:dyDescent="0.25">
      <c r="D1940" s="35"/>
    </row>
    <row r="1941" spans="4:4" x14ac:dyDescent="0.25">
      <c r="D1941" s="35"/>
    </row>
    <row r="1942" spans="4:4" x14ac:dyDescent="0.25">
      <c r="D1942" s="35"/>
    </row>
    <row r="1943" spans="4:4" x14ac:dyDescent="0.25">
      <c r="D1943" s="35"/>
    </row>
    <row r="1944" spans="4:4" x14ac:dyDescent="0.25">
      <c r="D1944" s="35"/>
    </row>
    <row r="1945" spans="4:4" x14ac:dyDescent="0.25">
      <c r="D1945" s="35"/>
    </row>
    <row r="1946" spans="4:4" x14ac:dyDescent="0.25">
      <c r="D1946" s="35"/>
    </row>
    <row r="1947" spans="4:4" x14ac:dyDescent="0.25">
      <c r="D1947" s="35"/>
    </row>
    <row r="1948" spans="4:4" x14ac:dyDescent="0.25">
      <c r="D1948" s="35"/>
    </row>
    <row r="1949" spans="4:4" x14ac:dyDescent="0.25">
      <c r="D1949" s="35"/>
    </row>
    <row r="1950" spans="4:4" x14ac:dyDescent="0.25">
      <c r="D1950" s="35"/>
    </row>
    <row r="1951" spans="4:4" x14ac:dyDescent="0.25">
      <c r="D1951" s="35"/>
    </row>
    <row r="1952" spans="4:4" x14ac:dyDescent="0.25">
      <c r="D1952" s="35"/>
    </row>
    <row r="1953" spans="4:4" x14ac:dyDescent="0.25">
      <c r="D1953" s="35"/>
    </row>
    <row r="1954" spans="4:4" x14ac:dyDescent="0.25">
      <c r="D1954" s="35"/>
    </row>
    <row r="1955" spans="4:4" x14ac:dyDescent="0.25">
      <c r="D1955" s="35"/>
    </row>
    <row r="1956" spans="4:4" x14ac:dyDescent="0.25">
      <c r="D1956" s="35"/>
    </row>
    <row r="1957" spans="4:4" x14ac:dyDescent="0.25">
      <c r="D1957" s="35"/>
    </row>
    <row r="1958" spans="4:4" x14ac:dyDescent="0.25">
      <c r="D1958" s="35"/>
    </row>
    <row r="1959" spans="4:4" x14ac:dyDescent="0.25">
      <c r="D1959" s="35"/>
    </row>
    <row r="1960" spans="4:4" x14ac:dyDescent="0.25">
      <c r="D1960" s="35"/>
    </row>
    <row r="1961" spans="4:4" x14ac:dyDescent="0.25">
      <c r="D1961" s="35"/>
    </row>
    <row r="1962" spans="4:4" x14ac:dyDescent="0.25">
      <c r="D1962" s="35"/>
    </row>
    <row r="1963" spans="4:4" x14ac:dyDescent="0.25">
      <c r="D1963" s="35"/>
    </row>
    <row r="1964" spans="4:4" x14ac:dyDescent="0.25">
      <c r="D1964" s="35"/>
    </row>
    <row r="1965" spans="4:4" x14ac:dyDescent="0.25">
      <c r="D1965" s="35"/>
    </row>
    <row r="1966" spans="4:4" x14ac:dyDescent="0.25">
      <c r="D1966" s="35"/>
    </row>
    <row r="1967" spans="4:4" x14ac:dyDescent="0.25">
      <c r="D1967" s="35"/>
    </row>
    <row r="1968" spans="4:4" x14ac:dyDescent="0.25">
      <c r="D1968" s="35"/>
    </row>
    <row r="1969" spans="4:4" x14ac:dyDescent="0.25">
      <c r="D1969" s="35"/>
    </row>
    <row r="1970" spans="4:4" x14ac:dyDescent="0.25">
      <c r="D1970" s="35"/>
    </row>
    <row r="1971" spans="4:4" x14ac:dyDescent="0.25">
      <c r="D1971" s="35"/>
    </row>
    <row r="1972" spans="4:4" x14ac:dyDescent="0.25">
      <c r="D1972" s="35"/>
    </row>
    <row r="1973" spans="4:4" x14ac:dyDescent="0.25">
      <c r="D1973" s="35"/>
    </row>
    <row r="1974" spans="4:4" x14ac:dyDescent="0.25">
      <c r="D1974" s="35"/>
    </row>
    <row r="1975" spans="4:4" x14ac:dyDescent="0.25">
      <c r="D1975" s="35"/>
    </row>
    <row r="1976" spans="4:4" x14ac:dyDescent="0.25">
      <c r="D1976" s="35"/>
    </row>
    <row r="1977" spans="4:4" x14ac:dyDescent="0.25">
      <c r="D1977" s="35"/>
    </row>
    <row r="1978" spans="4:4" x14ac:dyDescent="0.25">
      <c r="D1978" s="35"/>
    </row>
    <row r="1979" spans="4:4" x14ac:dyDescent="0.25">
      <c r="D1979" s="35"/>
    </row>
    <row r="1980" spans="4:4" x14ac:dyDescent="0.25">
      <c r="D1980" s="35"/>
    </row>
    <row r="1981" spans="4:4" x14ac:dyDescent="0.25">
      <c r="D1981" s="35"/>
    </row>
    <row r="1982" spans="4:4" x14ac:dyDescent="0.25">
      <c r="D1982" s="35"/>
    </row>
    <row r="1983" spans="4:4" x14ac:dyDescent="0.25">
      <c r="D1983" s="35"/>
    </row>
    <row r="1984" spans="4:4" x14ac:dyDescent="0.25">
      <c r="D1984" s="35"/>
    </row>
    <row r="1985" spans="4:4" x14ac:dyDescent="0.25">
      <c r="D1985" s="35"/>
    </row>
    <row r="1986" spans="4:4" x14ac:dyDescent="0.25">
      <c r="D1986" s="35"/>
    </row>
    <row r="1987" spans="4:4" x14ac:dyDescent="0.25">
      <c r="D1987" s="35"/>
    </row>
    <row r="1988" spans="4:4" x14ac:dyDescent="0.25">
      <c r="D1988" s="35"/>
    </row>
    <row r="1989" spans="4:4" x14ac:dyDescent="0.25">
      <c r="D1989" s="35"/>
    </row>
    <row r="1990" spans="4:4" x14ac:dyDescent="0.25">
      <c r="D1990" s="35"/>
    </row>
    <row r="1991" spans="4:4" x14ac:dyDescent="0.25">
      <c r="D1991" s="35"/>
    </row>
    <row r="1992" spans="4:4" x14ac:dyDescent="0.25">
      <c r="D1992" s="35"/>
    </row>
    <row r="1993" spans="4:4" x14ac:dyDescent="0.25">
      <c r="D1993" s="35"/>
    </row>
    <row r="1994" spans="4:4" x14ac:dyDescent="0.25">
      <c r="D1994" s="35"/>
    </row>
    <row r="1995" spans="4:4" x14ac:dyDescent="0.25">
      <c r="D1995" s="35"/>
    </row>
    <row r="1996" spans="4:4" x14ac:dyDescent="0.25">
      <c r="D1996" s="35"/>
    </row>
    <row r="1997" spans="4:4" x14ac:dyDescent="0.25">
      <c r="D1997" s="35"/>
    </row>
    <row r="1998" spans="4:4" x14ac:dyDescent="0.25">
      <c r="D1998" s="35"/>
    </row>
    <row r="1999" spans="4:4" x14ac:dyDescent="0.25">
      <c r="D1999" s="35"/>
    </row>
    <row r="2000" spans="4:4" x14ac:dyDescent="0.25">
      <c r="D2000" s="35"/>
    </row>
    <row r="2001" spans="4:4" x14ac:dyDescent="0.25">
      <c r="D2001" s="35"/>
    </row>
    <row r="2002" spans="4:4" x14ac:dyDescent="0.25">
      <c r="D2002" s="35"/>
    </row>
    <row r="2003" spans="4:4" x14ac:dyDescent="0.25">
      <c r="D2003" s="35"/>
    </row>
    <row r="2004" spans="4:4" x14ac:dyDescent="0.25">
      <c r="D2004" s="35"/>
    </row>
    <row r="2005" spans="4:4" x14ac:dyDescent="0.25">
      <c r="D2005" s="35"/>
    </row>
  </sheetData>
  <sortState ref="A6:E181">
    <sortCondition ref="B6"/>
  </sortState>
  <mergeCells count="1">
    <mergeCell ref="F3:I3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Notes</vt:lpstr>
      <vt:lpstr>XC95_Select</vt:lpstr>
      <vt:lpstr>XCD</vt:lpstr>
      <vt:lpstr>XCD_Chart</vt:lpstr>
      <vt:lpstr>ChartMajor</vt:lpstr>
      <vt:lpstr>ChartMax</vt:lpstr>
      <vt:lpstr>ChartMin</vt:lpstr>
      <vt:lpstr>SSD_ni_total</vt:lpstr>
      <vt:lpstr>SSD_nt_total</vt:lpstr>
      <vt:lpstr>XC95_Select_nt_total</vt:lpstr>
    </vt:vector>
  </TitlesOfParts>
  <Company>Tetra Tech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Zheng, Lei</dc:creator>
  <cp:lastModifiedBy>Leppo, Erik</cp:lastModifiedBy>
  <cp:lastPrinted>2016-11-21T16:02:01Z</cp:lastPrinted>
  <dcterms:created xsi:type="dcterms:W3CDTF">2014-06-04T14:31:30Z</dcterms:created>
  <dcterms:modified xsi:type="dcterms:W3CDTF">2017-01-12T13:40:47Z</dcterms:modified>
</cp:coreProperties>
</file>